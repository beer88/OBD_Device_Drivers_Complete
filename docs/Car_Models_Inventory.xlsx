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Full Inventory" sheetId="2" state="visible" r:id="rId2"/>
    <sheet xmlns:r="http://schemas.openxmlformats.org/officeDocument/2006/relationships" name="🏷️ Brand-Model Detail" sheetId="3" state="visible" r:id="rId3"/>
    <sheet xmlns:r="http://schemas.openxmlformats.org/officeDocument/2006/relationships" name="🎨 Color Cata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07D8B"/>
      <sz val="10"/>
    </font>
    <font>
      <name val="Arial"/>
      <b val="1"/>
      <color rgb="00B0C4DE"/>
      <sz val="9"/>
    </font>
    <font>
      <name val="Arial"/>
      <b val="1"/>
      <color rgb="00FFFFFF"/>
      <sz val="26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0D1B2A"/>
      <sz val="9"/>
    </font>
    <font>
      <name val="Arial"/>
      <b val="1"/>
      <color rgb="001B3A5C"/>
      <sz val="9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color rgb="0078909C"/>
      <sz val="9"/>
    </font>
    <font>
      <name val="Arial"/>
      <b val="1"/>
      <color rgb="001565C0"/>
      <sz val="9"/>
    </font>
    <font>
      <name val="Arial"/>
      <color rgb="00455A64"/>
      <sz val="8"/>
    </font>
    <font>
      <name val="Arial"/>
      <color rgb="001B3A5C"/>
      <sz val="9"/>
    </font>
    <font>
      <name val="Arial"/>
      <b val="1"/>
      <color rgb="00FFFFFF"/>
      <sz val="13"/>
    </font>
    <font>
      <name val="Arial"/>
      <color rgb="000D1B2A"/>
      <sz val="8"/>
    </font>
    <font>
      <name val="Arial"/>
      <b val="1"/>
      <color rgb="001565C0"/>
      <sz val="8"/>
    </font>
    <font>
      <name val="Arial"/>
      <color rgb="001B3A5C"/>
      <sz val="8"/>
    </font>
    <font>
      <name val="Arial"/>
      <color rgb="0037474F"/>
      <sz val="8"/>
    </font>
  </fonts>
  <fills count="26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EEF2F7"/>
      </patternFill>
    </fill>
    <fill>
      <patternFill patternType="solid">
        <fgColor rgb="001B3A5C"/>
      </patternFill>
    </fill>
    <fill>
      <patternFill patternType="solid">
        <fgColor rgb="001565C0"/>
      </patternFill>
    </fill>
    <fill>
      <patternFill patternType="solid">
        <fgColor rgb="000F4C81"/>
      </patternFill>
    </fill>
    <fill>
      <patternFill patternType="solid">
        <fgColor rgb="001E3A5F"/>
      </patternFill>
    </fill>
    <fill>
      <patternFill patternType="solid">
        <fgColor rgb="00FFFFFF"/>
      </patternFill>
    </fill>
    <fill>
      <patternFill patternType="solid">
        <fgColor rgb="00F0F4F8"/>
      </patternFill>
    </fill>
    <fill>
      <patternFill patternType="solid">
        <fgColor rgb="00E3F2FD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FCE4EC"/>
      </patternFill>
    </fill>
    <fill>
      <patternFill patternType="solid">
        <fgColor rgb="00F3E5F5"/>
      </patternFill>
    </fill>
    <fill>
      <patternFill patternType="solid">
        <fgColor rgb="00E0F7FA"/>
      </patternFill>
    </fill>
    <fill>
      <patternFill patternType="solid">
        <fgColor rgb="00FFF8E1"/>
      </patternFill>
    </fill>
    <fill>
      <patternFill patternType="solid">
        <fgColor rgb="00E8EAF6"/>
      </patternFill>
    </fill>
    <fill>
      <patternFill patternType="solid">
        <fgColor rgb="00F1F8E9"/>
      </patternFill>
    </fill>
    <fill>
      <patternFill patternType="solid">
        <fgColor rgb="00FBE9E7"/>
      </patternFill>
    </fill>
    <fill>
      <patternFill patternType="solid">
        <fgColor rgb="00E0F2F1"/>
      </patternFill>
    </fill>
    <fill>
      <patternFill patternType="solid">
        <fgColor rgb="00F9FBE7"/>
      </patternFill>
    </fill>
    <fill>
      <patternFill patternType="solid">
        <fgColor rgb="00EDE7F6"/>
      </patternFill>
    </fill>
    <fill>
      <patternFill patternType="solid">
        <fgColor rgb="00E1F5FE"/>
      </patternFill>
    </fill>
    <fill>
      <patternFill patternType="solid">
        <fgColor rgb="00FFF9C4"/>
      </patternFill>
    </fill>
    <fill>
      <patternFill patternType="solid">
        <fgColor rgb="00FFEBEE"/>
      </patternFill>
    </fill>
  </fills>
  <borders count="3">
    <border>
      <left/>
      <right/>
      <top/>
      <bottom/>
      <diagonal/>
    </border>
    <border>
      <left style="thin">
        <color rgb="001B3A5C"/>
      </left>
      <right style="thin">
        <color rgb="001B3A5C"/>
      </right>
      <top style="thin">
        <color rgb="001B3A5C"/>
      </top>
      <bottom style="thin">
        <color rgb="001B3A5C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4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5" fillId="7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/>
    </xf>
    <xf numFmtId="164" fontId="7" fillId="8" borderId="2" applyAlignment="1" pivotButton="0" quotePrefix="0" xfId="0">
      <alignment horizontal="center" vertical="center"/>
    </xf>
    <xf numFmtId="165" fontId="7" fillId="8" borderId="2" applyAlignment="1" pivotButton="0" quotePrefix="0" xfId="0">
      <alignment horizontal="center" vertical="center"/>
    </xf>
    <xf numFmtId="0" fontId="7" fillId="9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left" vertical="center"/>
    </xf>
    <xf numFmtId="164" fontId="7" fillId="9" borderId="2" applyAlignment="1" pivotButton="0" quotePrefix="0" xfId="0">
      <alignment horizontal="center" vertical="center"/>
    </xf>
    <xf numFmtId="165" fontId="7" fillId="9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9" fillId="2" borderId="0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2" applyAlignment="1" pivotButton="0" quotePrefix="0" xfId="0">
      <alignment horizontal="center" vertical="center" wrapText="1"/>
    </xf>
    <xf numFmtId="0" fontId="8" fillId="8" borderId="2" applyAlignment="1" pivotButton="0" quotePrefix="0" xfId="0">
      <alignment horizontal="center" vertical="center" wrapText="1"/>
    </xf>
    <xf numFmtId="0" fontId="7" fillId="8" borderId="2" applyAlignment="1" pivotButton="0" quotePrefix="0" xfId="0">
      <alignment horizontal="left" vertical="center" wrapText="1"/>
    </xf>
    <xf numFmtId="0" fontId="12" fillId="8" borderId="2" applyAlignment="1" pivotButton="0" quotePrefix="0" xfId="0">
      <alignment horizontal="center" vertical="center"/>
    </xf>
    <xf numFmtId="0" fontId="13" fillId="8" borderId="2" applyAlignment="1" pivotButton="0" quotePrefix="0" xfId="0">
      <alignment horizontal="left" vertical="center" wrapText="1"/>
    </xf>
    <xf numFmtId="0" fontId="11" fillId="10" borderId="2" applyAlignment="1" pivotButton="0" quotePrefix="0" xfId="0">
      <alignment horizontal="center" vertical="center"/>
    </xf>
    <xf numFmtId="0" fontId="14" fillId="10" borderId="2" applyAlignment="1" pivotButton="0" quotePrefix="0" xfId="0">
      <alignment horizontal="center" vertical="center" wrapText="1"/>
    </xf>
    <xf numFmtId="0" fontId="7" fillId="10" borderId="2" applyAlignment="1" pivotButton="0" quotePrefix="0" xfId="0">
      <alignment horizontal="left" vertical="center" wrapText="1"/>
    </xf>
    <xf numFmtId="0" fontId="12" fillId="10" borderId="2" applyAlignment="1" pivotButton="0" quotePrefix="0" xfId="0">
      <alignment horizontal="center" vertical="center"/>
    </xf>
    <xf numFmtId="0" fontId="13" fillId="10" borderId="2" applyAlignment="1" pivotButton="0" quotePrefix="0" xfId="0">
      <alignment horizontal="left" vertical="center" wrapText="1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 wrapText="1"/>
    </xf>
    <xf numFmtId="0" fontId="12" fillId="11" borderId="2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/>
    </xf>
    <xf numFmtId="0" fontId="14" fillId="11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left" vertical="center" wrapText="1"/>
    </xf>
    <xf numFmtId="0" fontId="12" fillId="11" borderId="2" applyAlignment="1" pivotButton="0" quotePrefix="0" xfId="0">
      <alignment horizontal="center" vertical="center"/>
    </xf>
    <xf numFmtId="0" fontId="13" fillId="11" borderId="2" applyAlignment="1" pivotButton="0" quotePrefix="0" xfId="0">
      <alignment horizontal="left" vertical="center" wrapText="1"/>
    </xf>
    <xf numFmtId="0" fontId="7" fillId="11" borderId="2" applyAlignment="1" pivotButton="0" quotePrefix="0" xfId="0">
      <alignment horizontal="center" vertical="center"/>
    </xf>
    <xf numFmtId="0" fontId="14" fillId="8" borderId="2" applyAlignment="1" pivotButton="0" quotePrefix="0" xfId="0">
      <alignment horizontal="center" vertical="center" wrapText="1"/>
    </xf>
    <xf numFmtId="0" fontId="8" fillId="11" borderId="2" applyAlignment="1" pivotButton="0" quotePrefix="0" xfId="0">
      <alignment horizontal="center" vertical="center" wrapText="1"/>
    </xf>
    <xf numFmtId="0" fontId="11" fillId="12" borderId="2" applyAlignment="1" pivotButton="0" quotePrefix="0" xfId="0">
      <alignment horizontal="center" vertical="center"/>
    </xf>
    <xf numFmtId="0" fontId="12" fillId="12" borderId="2" applyAlignment="1" pivotButton="0" quotePrefix="0" xfId="0">
      <alignment horizontal="center" vertical="center" wrapText="1"/>
    </xf>
    <xf numFmtId="0" fontId="8" fillId="12" borderId="2" applyAlignment="1" pivotButton="0" quotePrefix="0" xfId="0">
      <alignment horizontal="center" vertical="center" wrapText="1"/>
    </xf>
    <xf numFmtId="0" fontId="7" fillId="12" borderId="2" applyAlignment="1" pivotButton="0" quotePrefix="0" xfId="0">
      <alignment horizontal="left" vertical="center" wrapText="1"/>
    </xf>
    <xf numFmtId="0" fontId="12" fillId="12" borderId="2" applyAlignment="1" pivotButton="0" quotePrefix="0" xfId="0">
      <alignment horizontal="center" vertical="center"/>
    </xf>
    <xf numFmtId="0" fontId="13" fillId="12" borderId="2" applyAlignment="1" pivotButton="0" quotePrefix="0" xfId="0">
      <alignment horizontal="left" vertical="center" wrapText="1"/>
    </xf>
    <xf numFmtId="0" fontId="7" fillId="12" borderId="2" applyAlignment="1" pivotButton="0" quotePrefix="0" xfId="0">
      <alignment horizontal="center" vertical="center"/>
    </xf>
    <xf numFmtId="0" fontId="14" fillId="12" borderId="2" applyAlignment="1" pivotButton="0" quotePrefix="0" xfId="0">
      <alignment horizontal="center" vertical="center" wrapText="1"/>
    </xf>
    <xf numFmtId="0" fontId="12" fillId="13" borderId="2" applyAlignment="1" pivotButton="0" quotePrefix="0" xfId="0">
      <alignment horizontal="center" vertical="center" wrapText="1"/>
    </xf>
    <xf numFmtId="0" fontId="11" fillId="13" borderId="2" applyAlignment="1" pivotButton="0" quotePrefix="0" xfId="0">
      <alignment horizontal="center" vertical="center"/>
    </xf>
    <xf numFmtId="0" fontId="14" fillId="13" borderId="2" applyAlignment="1" pivotButton="0" quotePrefix="0" xfId="0">
      <alignment horizontal="center" vertical="center" wrapText="1"/>
    </xf>
    <xf numFmtId="0" fontId="7" fillId="13" borderId="2" applyAlignment="1" pivotButton="0" quotePrefix="0" xfId="0">
      <alignment horizontal="left" vertical="center" wrapText="1"/>
    </xf>
    <xf numFmtId="0" fontId="12" fillId="13" borderId="2" applyAlignment="1" pivotButton="0" quotePrefix="0" xfId="0">
      <alignment horizontal="center" vertical="center"/>
    </xf>
    <xf numFmtId="0" fontId="13" fillId="13" borderId="2" applyAlignment="1" pivotButton="0" quotePrefix="0" xfId="0">
      <alignment horizontal="left" vertical="center" wrapText="1"/>
    </xf>
    <xf numFmtId="0" fontId="7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 wrapText="1"/>
    </xf>
    <xf numFmtId="0" fontId="11" fillId="14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center" vertical="center" wrapText="1"/>
    </xf>
    <xf numFmtId="0" fontId="8" fillId="14" borderId="2" applyAlignment="1" pivotButton="0" quotePrefix="0" xfId="0">
      <alignment horizontal="center" vertical="center" wrapText="1"/>
    </xf>
    <xf numFmtId="0" fontId="7" fillId="14" borderId="2" applyAlignment="1" pivotButton="0" quotePrefix="0" xfId="0">
      <alignment horizontal="left" vertical="center" wrapText="1"/>
    </xf>
    <xf numFmtId="0" fontId="12" fillId="14" borderId="2" applyAlignment="1" pivotButton="0" quotePrefix="0" xfId="0">
      <alignment horizontal="center" vertical="center"/>
    </xf>
    <xf numFmtId="0" fontId="13" fillId="14" borderId="2" applyAlignment="1" pivotButton="0" quotePrefix="0" xfId="0">
      <alignment horizontal="left" vertical="center" wrapText="1"/>
    </xf>
    <xf numFmtId="0" fontId="7" fillId="14" borderId="2" applyAlignment="1" pivotButton="0" quotePrefix="0" xfId="0">
      <alignment horizontal="center" vertical="center"/>
    </xf>
    <xf numFmtId="0" fontId="14" fillId="14" borderId="2" applyAlignment="1" pivotButton="0" quotePrefix="0" xfId="0">
      <alignment horizontal="center" vertical="center" wrapText="1"/>
    </xf>
    <xf numFmtId="0" fontId="12" fillId="15" borderId="2" applyAlignment="1" pivotButton="0" quotePrefix="0" xfId="0">
      <alignment horizontal="center" vertical="center" wrapText="1"/>
    </xf>
    <xf numFmtId="0" fontId="11" fillId="15" borderId="2" applyAlignment="1" pivotButton="0" quotePrefix="0" xfId="0">
      <alignment horizontal="center" vertical="center"/>
    </xf>
    <xf numFmtId="0" fontId="14" fillId="15" borderId="2" applyAlignment="1" pivotButton="0" quotePrefix="0" xfId="0">
      <alignment horizontal="center" vertical="center" wrapText="1"/>
    </xf>
    <xf numFmtId="0" fontId="7" fillId="15" borderId="2" applyAlignment="1" pivotButton="0" quotePrefix="0" xfId="0">
      <alignment horizontal="left" vertical="center" wrapText="1"/>
    </xf>
    <xf numFmtId="0" fontId="12" fillId="15" borderId="2" applyAlignment="1" pivotButton="0" quotePrefix="0" xfId="0">
      <alignment horizontal="center" vertical="center"/>
    </xf>
    <xf numFmtId="0" fontId="13" fillId="15" borderId="2" applyAlignment="1" pivotButton="0" quotePrefix="0" xfId="0">
      <alignment horizontal="left" vertical="center" wrapText="1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 wrapText="1"/>
    </xf>
    <xf numFmtId="0" fontId="12" fillId="16" borderId="2" applyAlignment="1" pivotButton="0" quotePrefix="0" xfId="0">
      <alignment horizontal="center" vertical="center" wrapText="1"/>
    </xf>
    <xf numFmtId="0" fontId="11" fillId="16" borderId="2" applyAlignment="1" pivotButton="0" quotePrefix="0" xfId="0">
      <alignment horizontal="center" vertical="center"/>
    </xf>
    <xf numFmtId="0" fontId="8" fillId="16" borderId="2" applyAlignment="1" pivotButton="0" quotePrefix="0" xfId="0">
      <alignment horizontal="center" vertical="center" wrapText="1"/>
    </xf>
    <xf numFmtId="0" fontId="7" fillId="16" borderId="2" applyAlignment="1" pivotButton="0" quotePrefix="0" xfId="0">
      <alignment horizontal="left" vertical="center" wrapText="1"/>
    </xf>
    <xf numFmtId="0" fontId="12" fillId="16" borderId="2" applyAlignment="1" pivotButton="0" quotePrefix="0" xfId="0">
      <alignment horizontal="center" vertical="center"/>
    </xf>
    <xf numFmtId="0" fontId="13" fillId="16" borderId="2" applyAlignment="1" pivotButton="0" quotePrefix="0" xfId="0">
      <alignment horizontal="left" vertical="center" wrapText="1"/>
    </xf>
    <xf numFmtId="0" fontId="7" fillId="16" borderId="2" applyAlignment="1" pivotButton="0" quotePrefix="0" xfId="0">
      <alignment horizontal="center" vertical="center"/>
    </xf>
    <xf numFmtId="0" fontId="14" fillId="16" borderId="2" applyAlignment="1" pivotButton="0" quotePrefix="0" xfId="0">
      <alignment horizontal="center" vertical="center" wrapText="1"/>
    </xf>
    <xf numFmtId="0" fontId="11" fillId="17" borderId="2" applyAlignment="1" pivotButton="0" quotePrefix="0" xfId="0">
      <alignment horizontal="center" vertical="center"/>
    </xf>
    <xf numFmtId="0" fontId="12" fillId="17" borderId="2" applyAlignment="1" pivotButton="0" quotePrefix="0" xfId="0">
      <alignment horizontal="center" vertical="center" wrapText="1"/>
    </xf>
    <xf numFmtId="0" fontId="8" fillId="17" borderId="2" applyAlignment="1" pivotButton="0" quotePrefix="0" xfId="0">
      <alignment horizontal="center" vertical="center" wrapText="1"/>
    </xf>
    <xf numFmtId="0" fontId="7" fillId="17" borderId="2" applyAlignment="1" pivotButton="0" quotePrefix="0" xfId="0">
      <alignment horizontal="left" vertical="center" wrapText="1"/>
    </xf>
    <xf numFmtId="0" fontId="12" fillId="17" borderId="2" applyAlignment="1" pivotButton="0" quotePrefix="0" xfId="0">
      <alignment horizontal="center" vertical="center"/>
    </xf>
    <xf numFmtId="0" fontId="13" fillId="17" borderId="2" applyAlignment="1" pivotButton="0" quotePrefix="0" xfId="0">
      <alignment horizontal="left" vertical="center" wrapText="1"/>
    </xf>
    <xf numFmtId="0" fontId="7" fillId="17" borderId="2" applyAlignment="1" pivotButton="0" quotePrefix="0" xfId="0">
      <alignment horizontal="center" vertical="center"/>
    </xf>
    <xf numFmtId="0" fontId="14" fillId="17" borderId="2" applyAlignment="1" pivotButton="0" quotePrefix="0" xfId="0">
      <alignment horizontal="center" vertical="center" wrapText="1"/>
    </xf>
    <xf numFmtId="0" fontId="12" fillId="18" borderId="2" applyAlignment="1" pivotButton="0" quotePrefix="0" xfId="0">
      <alignment horizontal="center" vertical="center" wrapText="1"/>
    </xf>
    <xf numFmtId="0" fontId="11" fillId="18" borderId="2" applyAlignment="1" pivotButton="0" quotePrefix="0" xfId="0">
      <alignment horizontal="center" vertical="center"/>
    </xf>
    <xf numFmtId="0" fontId="14" fillId="18" borderId="2" applyAlignment="1" pivotButton="0" quotePrefix="0" xfId="0">
      <alignment horizontal="center" vertical="center" wrapText="1"/>
    </xf>
    <xf numFmtId="0" fontId="7" fillId="18" borderId="2" applyAlignment="1" pivotButton="0" quotePrefix="0" xfId="0">
      <alignment horizontal="left" vertical="center" wrapText="1"/>
    </xf>
    <xf numFmtId="0" fontId="12" fillId="18" borderId="2" applyAlignment="1" pivotButton="0" quotePrefix="0" xfId="0">
      <alignment horizontal="center" vertical="center"/>
    </xf>
    <xf numFmtId="0" fontId="13" fillId="18" borderId="2" applyAlignment="1" pivotButton="0" quotePrefix="0" xfId="0">
      <alignment horizontal="left" vertical="center" wrapText="1"/>
    </xf>
    <xf numFmtId="0" fontId="7" fillId="18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 wrapText="1"/>
    </xf>
    <xf numFmtId="0" fontId="12" fillId="19" borderId="2" applyAlignment="1" pivotButton="0" quotePrefix="0" xfId="0">
      <alignment horizontal="center" vertical="center" wrapText="1"/>
    </xf>
    <xf numFmtId="0" fontId="11" fillId="19" borderId="2" applyAlignment="1" pivotButton="0" quotePrefix="0" xfId="0">
      <alignment horizontal="center" vertical="center"/>
    </xf>
    <xf numFmtId="0" fontId="14" fillId="19" borderId="2" applyAlignment="1" pivotButton="0" quotePrefix="0" xfId="0">
      <alignment horizontal="center" vertical="center" wrapText="1"/>
    </xf>
    <xf numFmtId="0" fontId="7" fillId="19" borderId="2" applyAlignment="1" pivotButton="0" quotePrefix="0" xfId="0">
      <alignment horizontal="left" vertical="center" wrapText="1"/>
    </xf>
    <xf numFmtId="0" fontId="12" fillId="19" borderId="2" applyAlignment="1" pivotButton="0" quotePrefix="0" xfId="0">
      <alignment horizontal="center" vertical="center"/>
    </xf>
    <xf numFmtId="0" fontId="13" fillId="19" borderId="2" applyAlignment="1" pivotButton="0" quotePrefix="0" xfId="0">
      <alignment horizontal="left" vertical="center" wrapText="1"/>
    </xf>
    <xf numFmtId="0" fontId="7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 wrapText="1"/>
    </xf>
    <xf numFmtId="0" fontId="11" fillId="20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center" vertical="center" wrapText="1"/>
    </xf>
    <xf numFmtId="0" fontId="8" fillId="20" borderId="2" applyAlignment="1" pivotButton="0" quotePrefix="0" xfId="0">
      <alignment horizontal="center" vertical="center" wrapText="1"/>
    </xf>
    <xf numFmtId="0" fontId="7" fillId="20" borderId="2" applyAlignment="1" pivotButton="0" quotePrefix="0" xfId="0">
      <alignment horizontal="left" vertical="center" wrapText="1"/>
    </xf>
    <xf numFmtId="0" fontId="12" fillId="20" borderId="2" applyAlignment="1" pivotButton="0" quotePrefix="0" xfId="0">
      <alignment horizontal="center" vertical="center"/>
    </xf>
    <xf numFmtId="0" fontId="13" fillId="20" borderId="2" applyAlignment="1" pivotButton="0" quotePrefix="0" xfId="0">
      <alignment horizontal="left" vertical="center" wrapText="1"/>
    </xf>
    <xf numFmtId="0" fontId="7" fillId="20" borderId="2" applyAlignment="1" pivotButton="0" quotePrefix="0" xfId="0">
      <alignment horizontal="center" vertical="center"/>
    </xf>
    <xf numFmtId="0" fontId="11" fillId="21" borderId="2" applyAlignment="1" pivotButton="0" quotePrefix="0" xfId="0">
      <alignment horizontal="center" vertical="center"/>
    </xf>
    <xf numFmtId="0" fontId="12" fillId="21" borderId="2" applyAlignment="1" pivotButton="0" quotePrefix="0" xfId="0">
      <alignment horizontal="center" vertical="center" wrapText="1"/>
    </xf>
    <xf numFmtId="0" fontId="8" fillId="21" borderId="2" applyAlignment="1" pivotButton="0" quotePrefix="0" xfId="0">
      <alignment horizontal="center" vertical="center" wrapText="1"/>
    </xf>
    <xf numFmtId="0" fontId="7" fillId="21" borderId="2" applyAlignment="1" pivotButton="0" quotePrefix="0" xfId="0">
      <alignment horizontal="left" vertical="center" wrapText="1"/>
    </xf>
    <xf numFmtId="0" fontId="12" fillId="21" borderId="2" applyAlignment="1" pivotButton="0" quotePrefix="0" xfId="0">
      <alignment horizontal="center" vertical="center"/>
    </xf>
    <xf numFmtId="0" fontId="13" fillId="21" borderId="2" applyAlignment="1" pivotButton="0" quotePrefix="0" xfId="0">
      <alignment horizontal="left" vertical="center" wrapText="1"/>
    </xf>
    <xf numFmtId="0" fontId="7" fillId="21" borderId="2" applyAlignment="1" pivotButton="0" quotePrefix="0" xfId="0">
      <alignment horizontal="center" vertical="center"/>
    </xf>
    <xf numFmtId="0" fontId="14" fillId="21" borderId="2" applyAlignment="1" pivotButton="0" quotePrefix="0" xfId="0">
      <alignment horizontal="center" vertical="center" wrapText="1"/>
    </xf>
    <xf numFmtId="0" fontId="12" fillId="22" borderId="2" applyAlignment="1" pivotButton="0" quotePrefix="0" xfId="0">
      <alignment horizontal="center" vertical="center" wrapText="1"/>
    </xf>
    <xf numFmtId="0" fontId="11" fillId="22" borderId="2" applyAlignment="1" pivotButton="0" quotePrefix="0" xfId="0">
      <alignment horizontal="center" vertical="center"/>
    </xf>
    <xf numFmtId="0" fontId="14" fillId="22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left" vertical="center" wrapText="1"/>
    </xf>
    <xf numFmtId="0" fontId="12" fillId="22" borderId="2" applyAlignment="1" pivotButton="0" quotePrefix="0" xfId="0">
      <alignment horizontal="center" vertical="center"/>
    </xf>
    <xf numFmtId="0" fontId="13" fillId="22" borderId="2" applyAlignment="1" pivotButton="0" quotePrefix="0" xfId="0">
      <alignment horizontal="left" vertical="center" wrapText="1"/>
    </xf>
    <xf numFmtId="0" fontId="7" fillId="22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 wrapText="1"/>
    </xf>
    <xf numFmtId="0" fontId="11" fillId="23" borderId="2" applyAlignment="1" pivotButton="0" quotePrefix="0" xfId="0">
      <alignment horizontal="center" vertical="center"/>
    </xf>
    <xf numFmtId="0" fontId="12" fillId="23" borderId="2" applyAlignment="1" pivotButton="0" quotePrefix="0" xfId="0">
      <alignment horizontal="center" vertical="center" wrapText="1"/>
    </xf>
    <xf numFmtId="0" fontId="8" fillId="23" borderId="2" applyAlignment="1" pivotButton="0" quotePrefix="0" xfId="0">
      <alignment horizontal="center" vertical="center" wrapText="1"/>
    </xf>
    <xf numFmtId="0" fontId="7" fillId="23" borderId="2" applyAlignment="1" pivotButton="0" quotePrefix="0" xfId="0">
      <alignment horizontal="left" vertical="center" wrapText="1"/>
    </xf>
    <xf numFmtId="0" fontId="12" fillId="23" borderId="2" applyAlignment="1" pivotButton="0" quotePrefix="0" xfId="0">
      <alignment horizontal="center" vertical="center"/>
    </xf>
    <xf numFmtId="0" fontId="13" fillId="23" borderId="2" applyAlignment="1" pivotButton="0" quotePrefix="0" xfId="0">
      <alignment horizontal="left" vertical="center" wrapText="1"/>
    </xf>
    <xf numFmtId="0" fontId="7" fillId="23" borderId="2" applyAlignment="1" pivotButton="0" quotePrefix="0" xfId="0">
      <alignment horizontal="center" vertical="center"/>
    </xf>
    <xf numFmtId="0" fontId="14" fillId="23" borderId="2" applyAlignment="1" pivotButton="0" quotePrefix="0" xfId="0">
      <alignment horizontal="center" vertical="center" wrapText="1"/>
    </xf>
    <xf numFmtId="0" fontId="12" fillId="24" borderId="2" applyAlignment="1" pivotButton="0" quotePrefix="0" xfId="0">
      <alignment horizontal="center" vertical="center" wrapText="1"/>
    </xf>
    <xf numFmtId="0" fontId="11" fillId="24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 wrapText="1"/>
    </xf>
    <xf numFmtId="0" fontId="7" fillId="24" borderId="2" applyAlignment="1" pivotButton="0" quotePrefix="0" xfId="0">
      <alignment horizontal="left" vertical="center" wrapText="1"/>
    </xf>
    <xf numFmtId="0" fontId="12" fillId="24" borderId="2" applyAlignment="1" pivotButton="0" quotePrefix="0" xfId="0">
      <alignment horizontal="center" vertical="center"/>
    </xf>
    <xf numFmtId="0" fontId="13" fillId="24" borderId="2" applyAlignment="1" pivotButton="0" quotePrefix="0" xfId="0">
      <alignment horizontal="left" vertical="center" wrapText="1"/>
    </xf>
    <xf numFmtId="0" fontId="7" fillId="24" borderId="2" applyAlignment="1" pivotButton="0" quotePrefix="0" xfId="0">
      <alignment horizontal="center" vertical="center"/>
    </xf>
    <xf numFmtId="0" fontId="12" fillId="25" borderId="2" applyAlignment="1" pivotButton="0" quotePrefix="0" xfId="0">
      <alignment horizontal="center" vertical="center" wrapText="1"/>
    </xf>
    <xf numFmtId="0" fontId="11" fillId="25" borderId="2" applyAlignment="1" pivotButton="0" quotePrefix="0" xfId="0">
      <alignment horizontal="center" vertical="center"/>
    </xf>
    <xf numFmtId="0" fontId="8" fillId="25" borderId="2" applyAlignment="1" pivotButton="0" quotePrefix="0" xfId="0">
      <alignment horizontal="center" vertical="center" wrapText="1"/>
    </xf>
    <xf numFmtId="0" fontId="7" fillId="25" borderId="2" applyAlignment="1" pivotButton="0" quotePrefix="0" xfId="0">
      <alignment horizontal="left" vertical="center" wrapText="1"/>
    </xf>
    <xf numFmtId="0" fontId="12" fillId="25" borderId="2" applyAlignment="1" pivotButton="0" quotePrefix="0" xfId="0">
      <alignment horizontal="center" vertical="center"/>
    </xf>
    <xf numFmtId="0" fontId="13" fillId="25" borderId="2" applyAlignment="1" pivotButton="0" quotePrefix="0" xfId="0">
      <alignment horizontal="left" vertical="center" wrapText="1"/>
    </xf>
    <xf numFmtId="0" fontId="7" fillId="25" borderId="2" applyAlignment="1" pivotButton="0" quotePrefix="0" xfId="0">
      <alignment horizontal="center" vertical="center"/>
    </xf>
    <xf numFmtId="0" fontId="14" fillId="25" borderId="2" applyAlignment="1" pivotButton="0" quotePrefix="0" xfId="0">
      <alignment horizontal="center" vertical="center" wrapText="1"/>
    </xf>
    <xf numFmtId="0" fontId="15" fillId="2" borderId="0" applyAlignment="1" pivotButton="0" quotePrefix="0" xfId="0">
      <alignment horizontal="center" vertical="center"/>
    </xf>
    <xf numFmtId="0" fontId="12" fillId="10" borderId="2" applyAlignment="1" pivotButton="0" quotePrefix="0" xfId="0">
      <alignment horizontal="left" vertical="center"/>
    </xf>
    <xf numFmtId="0" fontId="14" fillId="10" borderId="2" applyAlignment="1" pivotButton="0" quotePrefix="0" xfId="0">
      <alignment horizontal="left" vertical="center"/>
    </xf>
    <xf numFmtId="164" fontId="7" fillId="10" borderId="2" applyAlignment="1" pivotButton="0" quotePrefix="0" xfId="0">
      <alignment horizontal="center" vertical="center"/>
    </xf>
    <xf numFmtId="0" fontId="12" fillId="8" borderId="2" applyAlignment="1" pivotButton="0" quotePrefix="0" xfId="0">
      <alignment horizontal="left" vertical="center"/>
    </xf>
    <xf numFmtId="0" fontId="14" fillId="8" borderId="2" applyAlignment="1" pivotButton="0" quotePrefix="0" xfId="0">
      <alignment horizontal="left" vertical="center"/>
    </xf>
    <xf numFmtId="0" fontId="12" fillId="12" borderId="2" applyAlignment="1" pivotButton="0" quotePrefix="0" xfId="0">
      <alignment horizontal="left" vertical="center"/>
    </xf>
    <xf numFmtId="0" fontId="14" fillId="12" borderId="2" applyAlignment="1" pivotButton="0" quotePrefix="0" xfId="0">
      <alignment horizontal="left" vertical="center"/>
    </xf>
    <xf numFmtId="164" fontId="7" fillId="12" borderId="2" applyAlignment="1" pivotButton="0" quotePrefix="0" xfId="0">
      <alignment horizontal="center" vertical="center"/>
    </xf>
    <xf numFmtId="0" fontId="12" fillId="14" borderId="2" applyAlignment="1" pivotButton="0" quotePrefix="0" xfId="0">
      <alignment horizontal="left" vertical="center"/>
    </xf>
    <xf numFmtId="0" fontId="14" fillId="14" borderId="2" applyAlignment="1" pivotButton="0" quotePrefix="0" xfId="0">
      <alignment horizontal="left" vertical="center"/>
    </xf>
    <xf numFmtId="164" fontId="7" fillId="14" borderId="2" applyAlignment="1" pivotButton="0" quotePrefix="0" xfId="0">
      <alignment horizontal="center" vertical="center"/>
    </xf>
    <xf numFmtId="0" fontId="12" fillId="16" borderId="2" applyAlignment="1" pivotButton="0" quotePrefix="0" xfId="0">
      <alignment horizontal="left" vertical="center"/>
    </xf>
    <xf numFmtId="0" fontId="14" fillId="16" borderId="2" applyAlignment="1" pivotButton="0" quotePrefix="0" xfId="0">
      <alignment horizontal="left" vertical="center"/>
    </xf>
    <xf numFmtId="164" fontId="7" fillId="16" borderId="2" applyAlignment="1" pivotButton="0" quotePrefix="0" xfId="0">
      <alignment horizontal="center" vertical="center"/>
    </xf>
    <xf numFmtId="0" fontId="12" fillId="18" borderId="2" applyAlignment="1" pivotButton="0" quotePrefix="0" xfId="0">
      <alignment horizontal="left" vertical="center"/>
    </xf>
    <xf numFmtId="0" fontId="14" fillId="18" borderId="2" applyAlignment="1" pivotButton="0" quotePrefix="0" xfId="0">
      <alignment horizontal="left" vertical="center"/>
    </xf>
    <xf numFmtId="164" fontId="7" fillId="18" borderId="2" applyAlignment="1" pivotButton="0" quotePrefix="0" xfId="0">
      <alignment horizontal="center" vertical="center"/>
    </xf>
    <xf numFmtId="0" fontId="12" fillId="20" borderId="2" applyAlignment="1" pivotButton="0" quotePrefix="0" xfId="0">
      <alignment horizontal="left" vertical="center"/>
    </xf>
    <xf numFmtId="0" fontId="14" fillId="20" borderId="2" applyAlignment="1" pivotButton="0" quotePrefix="0" xfId="0">
      <alignment horizontal="left" vertical="center"/>
    </xf>
    <xf numFmtId="164" fontId="7" fillId="20" borderId="2" applyAlignment="1" pivotButton="0" quotePrefix="0" xfId="0">
      <alignment horizontal="center" vertical="center"/>
    </xf>
    <xf numFmtId="0" fontId="12" fillId="22" borderId="2" applyAlignment="1" pivotButton="0" quotePrefix="0" xfId="0">
      <alignment horizontal="left" vertical="center"/>
    </xf>
    <xf numFmtId="0" fontId="14" fillId="22" borderId="2" applyAlignment="1" pivotButton="0" quotePrefix="0" xfId="0">
      <alignment horizontal="left" vertical="center"/>
    </xf>
    <xf numFmtId="164" fontId="7" fillId="22" borderId="2" applyAlignment="1" pivotButton="0" quotePrefix="0" xfId="0">
      <alignment horizontal="center" vertical="center"/>
    </xf>
    <xf numFmtId="0" fontId="12" fillId="11" borderId="2" applyAlignment="1" pivotButton="0" quotePrefix="0" xfId="0">
      <alignment horizontal="left" vertical="center"/>
    </xf>
    <xf numFmtId="0" fontId="14" fillId="11" borderId="2" applyAlignment="1" pivotButton="0" quotePrefix="0" xfId="0">
      <alignment horizontal="left" vertical="center"/>
    </xf>
    <xf numFmtId="164" fontId="7" fillId="11" borderId="2" applyAlignment="1" pivotButton="0" quotePrefix="0" xfId="0">
      <alignment horizontal="center" vertical="center"/>
    </xf>
    <xf numFmtId="0" fontId="12" fillId="25" borderId="2" applyAlignment="1" pivotButton="0" quotePrefix="0" xfId="0">
      <alignment horizontal="left" vertical="center"/>
    </xf>
    <xf numFmtId="0" fontId="14" fillId="25" borderId="2" applyAlignment="1" pivotButton="0" quotePrefix="0" xfId="0">
      <alignment horizontal="left" vertical="center"/>
    </xf>
    <xf numFmtId="164" fontId="7" fillId="25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17" fillId="10" borderId="2" applyAlignment="1" pivotButton="0" quotePrefix="0" xfId="0">
      <alignment horizontal="left" vertical="center"/>
    </xf>
    <xf numFmtId="0" fontId="18" fillId="10" borderId="2" applyAlignment="1" pivotButton="0" quotePrefix="0" xfId="0">
      <alignment horizontal="left" vertical="center"/>
    </xf>
    <xf numFmtId="0" fontId="16" fillId="10" borderId="2" applyAlignment="1" pivotButton="0" quotePrefix="0" xfId="0">
      <alignment horizontal="left" vertical="center"/>
    </xf>
    <xf numFmtId="0" fontId="19" fillId="10" borderId="2" applyAlignment="1" pivotButton="0" quotePrefix="0" xfId="0">
      <alignment horizontal="left" vertical="center"/>
    </xf>
    <xf numFmtId="0" fontId="16" fillId="8" borderId="2" applyAlignment="1" pivotButton="0" quotePrefix="0" xfId="0">
      <alignment horizontal="center" vertical="center"/>
    </xf>
    <xf numFmtId="0" fontId="17" fillId="8" borderId="2" applyAlignment="1" pivotButton="0" quotePrefix="0" xfId="0">
      <alignment horizontal="left" vertical="center"/>
    </xf>
    <xf numFmtId="0" fontId="18" fillId="8" borderId="2" applyAlignment="1" pivotButton="0" quotePrefix="0" xfId="0">
      <alignment horizontal="left" vertical="center"/>
    </xf>
    <xf numFmtId="0" fontId="16" fillId="8" borderId="2" applyAlignment="1" pivotButton="0" quotePrefix="0" xfId="0">
      <alignment horizontal="left" vertical="center"/>
    </xf>
    <xf numFmtId="0" fontId="19" fillId="8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center" vertical="center"/>
    </xf>
    <xf numFmtId="0" fontId="17" fillId="12" borderId="2" applyAlignment="1" pivotButton="0" quotePrefix="0" xfId="0">
      <alignment horizontal="left" vertical="center"/>
    </xf>
    <xf numFmtId="0" fontId="18" fillId="12" borderId="2" applyAlignment="1" pivotButton="0" quotePrefix="0" xfId="0">
      <alignment horizontal="left" vertical="center"/>
    </xf>
    <xf numFmtId="0" fontId="16" fillId="12" borderId="2" applyAlignment="1" pivotButton="0" quotePrefix="0" xfId="0">
      <alignment horizontal="left" vertical="center"/>
    </xf>
    <xf numFmtId="0" fontId="19" fillId="12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center" vertical="center"/>
    </xf>
    <xf numFmtId="0" fontId="17" fillId="14" borderId="2" applyAlignment="1" pivotButton="0" quotePrefix="0" xfId="0">
      <alignment horizontal="left" vertical="center"/>
    </xf>
    <xf numFmtId="0" fontId="18" fillId="14" borderId="2" applyAlignment="1" pivotButton="0" quotePrefix="0" xfId="0">
      <alignment horizontal="left" vertical="center"/>
    </xf>
    <xf numFmtId="0" fontId="16" fillId="14" borderId="2" applyAlignment="1" pivotButton="0" quotePrefix="0" xfId="0">
      <alignment horizontal="left" vertical="center"/>
    </xf>
    <xf numFmtId="0" fontId="19" fillId="14" borderId="2" applyAlignment="1" pivotButton="0" quotePrefix="0" xfId="0">
      <alignment horizontal="left" vertical="center"/>
    </xf>
    <xf numFmtId="0" fontId="16" fillId="16" borderId="2" applyAlignment="1" pivotButton="0" quotePrefix="0" xfId="0">
      <alignment horizontal="center" vertical="center"/>
    </xf>
    <xf numFmtId="0" fontId="17" fillId="16" borderId="2" applyAlignment="1" pivotButton="0" quotePrefix="0" xfId="0">
      <alignment horizontal="left" vertical="center"/>
    </xf>
    <xf numFmtId="0" fontId="18" fillId="16" borderId="2" applyAlignment="1" pivotButton="0" quotePrefix="0" xfId="0">
      <alignment horizontal="left" vertical="center"/>
    </xf>
    <xf numFmtId="0" fontId="16" fillId="16" borderId="2" applyAlignment="1" pivotButton="0" quotePrefix="0" xfId="0">
      <alignment horizontal="left" vertical="center"/>
    </xf>
    <xf numFmtId="0" fontId="19" fillId="16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center" vertical="center"/>
    </xf>
    <xf numFmtId="0" fontId="17" fillId="18" borderId="2" applyAlignment="1" pivotButton="0" quotePrefix="0" xfId="0">
      <alignment horizontal="left" vertical="center"/>
    </xf>
    <xf numFmtId="0" fontId="18" fillId="18" borderId="2" applyAlignment="1" pivotButton="0" quotePrefix="0" xfId="0">
      <alignment horizontal="left" vertical="center"/>
    </xf>
    <xf numFmtId="0" fontId="16" fillId="18" borderId="2" applyAlignment="1" pivotButton="0" quotePrefix="0" xfId="0">
      <alignment horizontal="left" vertical="center"/>
    </xf>
    <xf numFmtId="0" fontId="19" fillId="18" borderId="2" applyAlignment="1" pivotButton="0" quotePrefix="0" xfId="0">
      <alignment horizontal="left" vertical="center"/>
    </xf>
    <xf numFmtId="0" fontId="16" fillId="20" borderId="2" applyAlignment="1" pivotButton="0" quotePrefix="0" xfId="0">
      <alignment horizontal="center" vertical="center"/>
    </xf>
    <xf numFmtId="0" fontId="17" fillId="20" borderId="2" applyAlignment="1" pivotButton="0" quotePrefix="0" xfId="0">
      <alignment horizontal="left" vertical="center"/>
    </xf>
    <xf numFmtId="0" fontId="18" fillId="20" borderId="2" applyAlignment="1" pivotButton="0" quotePrefix="0" xfId="0">
      <alignment horizontal="left" vertical="center"/>
    </xf>
    <xf numFmtId="0" fontId="16" fillId="20" borderId="2" applyAlignment="1" pivotButton="0" quotePrefix="0" xfId="0">
      <alignment horizontal="left" vertical="center"/>
    </xf>
    <xf numFmtId="0" fontId="19" fillId="20" borderId="2" applyAlignment="1" pivotButton="0" quotePrefix="0" xfId="0">
      <alignment horizontal="left" vertical="center"/>
    </xf>
    <xf numFmtId="0" fontId="16" fillId="22" borderId="2" applyAlignment="1" pivotButton="0" quotePrefix="0" xfId="0">
      <alignment horizontal="center" vertical="center"/>
    </xf>
    <xf numFmtId="0" fontId="17" fillId="22" borderId="2" applyAlignment="1" pivotButton="0" quotePrefix="0" xfId="0">
      <alignment horizontal="left" vertical="center"/>
    </xf>
    <xf numFmtId="0" fontId="18" fillId="22" borderId="2" applyAlignment="1" pivotButton="0" quotePrefix="0" xfId="0">
      <alignment horizontal="left" vertical="center"/>
    </xf>
    <xf numFmtId="0" fontId="16" fillId="22" borderId="2" applyAlignment="1" pivotButton="0" quotePrefix="0" xfId="0">
      <alignment horizontal="left" vertical="center"/>
    </xf>
    <xf numFmtId="0" fontId="19" fillId="22" borderId="2" applyAlignment="1" pivotButton="0" quotePrefix="0" xfId="0">
      <alignment horizontal="left" vertical="center"/>
    </xf>
    <xf numFmtId="0" fontId="16" fillId="11" borderId="2" applyAlignment="1" pivotButton="0" quotePrefix="0" xfId="0">
      <alignment horizontal="center" vertical="center"/>
    </xf>
    <xf numFmtId="0" fontId="17" fillId="11" borderId="2" applyAlignment="1" pivotButton="0" quotePrefix="0" xfId="0">
      <alignment horizontal="left" vertical="center"/>
    </xf>
    <xf numFmtId="0" fontId="18" fillId="11" borderId="2" applyAlignment="1" pivotButton="0" quotePrefix="0" xfId="0">
      <alignment horizontal="left" vertical="center"/>
    </xf>
    <xf numFmtId="0" fontId="16" fillId="11" borderId="2" applyAlignment="1" pivotButton="0" quotePrefix="0" xfId="0">
      <alignment horizontal="left" vertical="center"/>
    </xf>
    <xf numFmtId="0" fontId="19" fillId="11" borderId="2" applyAlignment="1" pivotButton="0" quotePrefix="0" xfId="0">
      <alignment horizontal="left" vertical="center"/>
    </xf>
    <xf numFmtId="0" fontId="16" fillId="25" borderId="2" applyAlignment="1" pivotButton="0" quotePrefix="0" xfId="0">
      <alignment horizontal="center" vertical="center"/>
    </xf>
    <xf numFmtId="0" fontId="17" fillId="25" borderId="2" applyAlignment="1" pivotButton="0" quotePrefix="0" xfId="0">
      <alignment horizontal="left" vertical="center"/>
    </xf>
    <xf numFmtId="0" fontId="18" fillId="25" borderId="2" applyAlignment="1" pivotButton="0" quotePrefix="0" xfId="0">
      <alignment horizontal="left" vertical="center"/>
    </xf>
    <xf numFmtId="0" fontId="16" fillId="25" borderId="2" applyAlignment="1" pivotButton="0" quotePrefix="0" xfId="0">
      <alignment horizontal="left" vertical="center"/>
    </xf>
    <xf numFmtId="0" fontId="19" fillId="2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showGridLines="0" workbookViewId="0">
      <pane ySplit="10" topLeftCell="A11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10" customWidth="1" min="3" max="3"/>
    <col width="12" customWidth="1" min="4" max="4"/>
    <col width="15" customWidth="1" min="5" max="5"/>
    <col width="20" customWidth="1" min="6" max="6"/>
    <col width="20" customWidth="1" min="7" max="7"/>
    <col width="15" customWidth="1" min="8" max="8"/>
  </cols>
  <sheetData>
    <row r="1" ht="22" customHeight="1">
      <c r="A1" s="1" t="inlineStr">
        <is>
          <t>🚗  CAR MODELS — COMPLETE INVENTORY DASHBOARD</t>
        </is>
      </c>
    </row>
    <row r="2" ht="22" customHeight="1"/>
    <row r="3" ht="16" customHeight="1">
      <c r="A3" s="2" t="inlineStr">
        <is>
          <t>Comprehensive analysis of all brands · models · variants · colors</t>
        </is>
      </c>
    </row>
    <row r="4" ht="10" customHeight="1"/>
    <row r="5" ht="24" customHeight="1">
      <c r="A5" s="3" t="inlineStr">
        <is>
          <t>TOTAL BRANDS</t>
        </is>
      </c>
      <c r="C5" s="4" t="inlineStr">
        <is>
          <t>TOTAL MODELS</t>
        </is>
      </c>
      <c r="E5" s="5" t="inlineStr">
        <is>
          <t>TOTAL VARIANTS</t>
        </is>
      </c>
      <c r="G5" s="6" t="inlineStr">
        <is>
          <t>TOTAL COLORS</t>
        </is>
      </c>
    </row>
    <row r="6" ht="24" customHeight="1">
      <c r="A6" s="7" t="n">
        <v>17</v>
      </c>
      <c r="C6" s="8" t="n">
        <v>117</v>
      </c>
      <c r="E6" s="9" t="n">
        <v>528</v>
      </c>
      <c r="G6" s="10" t="n">
        <v>2498</v>
      </c>
    </row>
    <row r="7" ht="24" customHeight="1">
      <c r="A7" s="11" t="inlineStr"/>
      <c r="C7" s="12" t="inlineStr"/>
      <c r="E7" s="13" t="inlineStr"/>
      <c r="G7" s="14" t="inlineStr"/>
    </row>
    <row r="8" ht="12" customHeight="1"/>
    <row r="9" ht="20" customHeight="1">
      <c r="A9" s="15" t="inlineStr">
        <is>
          <t>BRAND-LEVEL SUMMARY</t>
        </is>
      </c>
    </row>
    <row r="10" ht="18" customHeight="1">
      <c r="A10" s="16" t="inlineStr">
        <is>
          <t>#</t>
        </is>
      </c>
      <c r="B10" s="16" t="inlineStr">
        <is>
          <t>Brand</t>
        </is>
      </c>
      <c r="C10" s="16" t="inlineStr">
        <is>
          <t>Models</t>
        </is>
      </c>
      <c r="D10" s="16" t="inlineStr">
        <is>
          <t>Variants</t>
        </is>
      </c>
      <c r="E10" s="16" t="inlineStr">
        <is>
          <t>Color Options</t>
        </is>
      </c>
      <c r="F10" s="16" t="inlineStr">
        <is>
          <t>Avg Variants/Model</t>
        </is>
      </c>
      <c r="G10" s="16" t="inlineStr">
        <is>
          <t>Avg Colors/Variant</t>
        </is>
      </c>
      <c r="H10" s="16" t="inlineStr">
        <is>
          <t>Coverage</t>
        </is>
      </c>
    </row>
    <row r="11" ht="17" customHeight="1">
      <c r="A11" s="17" t="n">
        <v>1</v>
      </c>
      <c r="B11" s="18" t="inlineStr">
        <is>
          <t>Maruti Suzuki</t>
        </is>
      </c>
      <c r="C11" s="17" t="n">
        <v>20</v>
      </c>
      <c r="D11" s="17" t="n">
        <v>87</v>
      </c>
      <c r="E11" s="17" t="n">
        <v>480</v>
      </c>
      <c r="F11" s="19">
        <f>IFERROR(87/20,"-")</f>
        <v/>
      </c>
      <c r="G11" s="19">
        <f>IFERROR(480/87,"-")</f>
        <v/>
      </c>
      <c r="H11" s="20">
        <f>480/2498</f>
        <v/>
      </c>
    </row>
    <row r="12" ht="17" customHeight="1">
      <c r="A12" s="21" t="n">
        <v>2</v>
      </c>
      <c r="B12" s="22" t="inlineStr">
        <is>
          <t>Hyundai</t>
        </is>
      </c>
      <c r="C12" s="21" t="n">
        <v>7</v>
      </c>
      <c r="D12" s="21" t="n">
        <v>57</v>
      </c>
      <c r="E12" s="21" t="n">
        <v>263</v>
      </c>
      <c r="F12" s="23">
        <f>IFERROR(57/7,"-")</f>
        <v/>
      </c>
      <c r="G12" s="23">
        <f>IFERROR(263/57,"-")</f>
        <v/>
      </c>
      <c r="H12" s="24">
        <f>263/2498</f>
        <v/>
      </c>
    </row>
    <row r="13" ht="17" customHeight="1">
      <c r="A13" s="17" t="n">
        <v>3</v>
      </c>
      <c r="B13" s="18" t="inlineStr">
        <is>
          <t>Tata</t>
        </is>
      </c>
      <c r="C13" s="17" t="n">
        <v>8</v>
      </c>
      <c r="D13" s="17" t="n">
        <v>71</v>
      </c>
      <c r="E13" s="17" t="n">
        <v>236</v>
      </c>
      <c r="F13" s="19">
        <f>IFERROR(71/8,"-")</f>
        <v/>
      </c>
      <c r="G13" s="19">
        <f>IFERROR(236/71,"-")</f>
        <v/>
      </c>
      <c r="H13" s="20">
        <f>236/2498</f>
        <v/>
      </c>
    </row>
    <row r="14" ht="17" customHeight="1">
      <c r="A14" s="21" t="n">
        <v>4</v>
      </c>
      <c r="B14" s="22" t="inlineStr">
        <is>
          <t>Mahindra</t>
        </is>
      </c>
      <c r="C14" s="21" t="n">
        <v>8</v>
      </c>
      <c r="D14" s="21" t="n">
        <v>48</v>
      </c>
      <c r="E14" s="21" t="n">
        <v>217</v>
      </c>
      <c r="F14" s="23">
        <f>IFERROR(48/8,"-")</f>
        <v/>
      </c>
      <c r="G14" s="23">
        <f>IFERROR(217/48,"-")</f>
        <v/>
      </c>
      <c r="H14" s="24">
        <f>217/2498</f>
        <v/>
      </c>
    </row>
    <row r="15" ht="17" customHeight="1">
      <c r="A15" s="17" t="n">
        <v>5</v>
      </c>
      <c r="B15" s="18" t="inlineStr">
        <is>
          <t>Kia</t>
        </is>
      </c>
      <c r="C15" s="17" t="n">
        <v>7</v>
      </c>
      <c r="D15" s="17" t="n">
        <v>31</v>
      </c>
      <c r="E15" s="17" t="n">
        <v>202</v>
      </c>
      <c r="F15" s="19">
        <f>IFERROR(31/7,"-")</f>
        <v/>
      </c>
      <c r="G15" s="19">
        <f>IFERROR(202/31,"-")</f>
        <v/>
      </c>
      <c r="H15" s="20">
        <f>202/2498</f>
        <v/>
      </c>
    </row>
    <row r="16" ht="17" customHeight="1">
      <c r="A16" s="21" t="n">
        <v>6</v>
      </c>
      <c r="B16" s="22" t="inlineStr">
        <is>
          <t>Volkswagen</t>
        </is>
      </c>
      <c r="C16" s="21" t="n">
        <v>6</v>
      </c>
      <c r="D16" s="21" t="n">
        <v>38</v>
      </c>
      <c r="E16" s="21" t="n">
        <v>200</v>
      </c>
      <c r="F16" s="23">
        <f>IFERROR(38/6,"-")</f>
        <v/>
      </c>
      <c r="G16" s="23">
        <f>IFERROR(200/38,"-")</f>
        <v/>
      </c>
      <c r="H16" s="24">
        <f>200/2498</f>
        <v/>
      </c>
    </row>
    <row r="17" ht="17" customHeight="1">
      <c r="A17" s="17" t="n">
        <v>7</v>
      </c>
      <c r="B17" s="18" t="inlineStr">
        <is>
          <t>Honda</t>
        </is>
      </c>
      <c r="C17" s="17" t="n">
        <v>6</v>
      </c>
      <c r="D17" s="17" t="n">
        <v>33</v>
      </c>
      <c r="E17" s="17" t="n">
        <v>158</v>
      </c>
      <c r="F17" s="19">
        <f>IFERROR(33/6,"-")</f>
        <v/>
      </c>
      <c r="G17" s="19">
        <f>IFERROR(158/33,"-")</f>
        <v/>
      </c>
      <c r="H17" s="20">
        <f>158/2498</f>
        <v/>
      </c>
    </row>
    <row r="18" ht="17" customHeight="1">
      <c r="A18" s="21" t="n">
        <v>8</v>
      </c>
      <c r="B18" s="22" t="inlineStr">
        <is>
          <t>Skoda</t>
        </is>
      </c>
      <c r="C18" s="21" t="n">
        <v>6</v>
      </c>
      <c r="D18" s="21" t="n">
        <v>26</v>
      </c>
      <c r="E18" s="21" t="n">
        <v>127</v>
      </c>
      <c r="F18" s="23">
        <f>IFERROR(26/6,"-")</f>
        <v/>
      </c>
      <c r="G18" s="23">
        <f>IFERROR(127/26,"-")</f>
        <v/>
      </c>
      <c r="H18" s="24">
        <f>127/2498</f>
        <v/>
      </c>
    </row>
    <row r="19" ht="17" customHeight="1">
      <c r="A19" s="17" t="n">
        <v>9</v>
      </c>
      <c r="B19" s="18" t="inlineStr">
        <is>
          <t>MG</t>
        </is>
      </c>
      <c r="C19" s="17" t="n">
        <v>6</v>
      </c>
      <c r="D19" s="17" t="n">
        <v>31</v>
      </c>
      <c r="E19" s="17" t="n">
        <v>108</v>
      </c>
      <c r="F19" s="19">
        <f>IFERROR(31/6,"-")</f>
        <v/>
      </c>
      <c r="G19" s="19">
        <f>IFERROR(108/31,"-")</f>
        <v/>
      </c>
      <c r="H19" s="20">
        <f>108/2498</f>
        <v/>
      </c>
    </row>
    <row r="20" ht="17" customHeight="1">
      <c r="A20" s="21" t="n">
        <v>10</v>
      </c>
      <c r="B20" s="22" t="inlineStr">
        <is>
          <t>Nissan</t>
        </is>
      </c>
      <c r="C20" s="21" t="n">
        <v>4</v>
      </c>
      <c r="D20" s="21" t="n">
        <v>21</v>
      </c>
      <c r="E20" s="21" t="n">
        <v>107</v>
      </c>
      <c r="F20" s="23">
        <f>IFERROR(21/4,"-")</f>
        <v/>
      </c>
      <c r="G20" s="23">
        <f>IFERROR(107/21,"-")</f>
        <v/>
      </c>
      <c r="H20" s="24">
        <f>107/2498</f>
        <v/>
      </c>
    </row>
    <row r="21" ht="17" customHeight="1">
      <c r="A21" s="17" t="n">
        <v>11</v>
      </c>
      <c r="B21" s="18" t="inlineStr">
        <is>
          <t>Jeep</t>
        </is>
      </c>
      <c r="C21" s="17" t="n">
        <v>4</v>
      </c>
      <c r="D21" s="17" t="n">
        <v>18</v>
      </c>
      <c r="E21" s="17" t="n">
        <v>104</v>
      </c>
      <c r="F21" s="19">
        <f>IFERROR(18/4,"-")</f>
        <v/>
      </c>
      <c r="G21" s="19">
        <f>IFERROR(104/18,"-")</f>
        <v/>
      </c>
      <c r="H21" s="20">
        <f>104/2498</f>
        <v/>
      </c>
    </row>
    <row r="22" ht="17" customHeight="1">
      <c r="A22" s="21" t="n">
        <v>12</v>
      </c>
      <c r="B22" s="22" t="inlineStr">
        <is>
          <t>Renault</t>
        </is>
      </c>
      <c r="C22" s="21" t="n">
        <v>5</v>
      </c>
      <c r="D22" s="21" t="n">
        <v>23</v>
      </c>
      <c r="E22" s="21" t="n">
        <v>97</v>
      </c>
      <c r="F22" s="23">
        <f>IFERROR(23/5,"-")</f>
        <v/>
      </c>
      <c r="G22" s="23">
        <f>IFERROR(97/23,"-")</f>
        <v/>
      </c>
      <c r="H22" s="24">
        <f>97/2498</f>
        <v/>
      </c>
    </row>
    <row r="23" ht="17" customHeight="1">
      <c r="A23" s="17" t="n">
        <v>13</v>
      </c>
      <c r="B23" s="18" t="inlineStr">
        <is>
          <t>Toyota</t>
        </is>
      </c>
      <c r="C23" s="17" t="n">
        <v>10</v>
      </c>
      <c r="D23" s="17" t="n">
        <v>10</v>
      </c>
      <c r="E23" s="17" t="n">
        <v>66</v>
      </c>
      <c r="F23" s="19">
        <f>IFERROR(10/10,"-")</f>
        <v/>
      </c>
      <c r="G23" s="19">
        <f>IFERROR(66/10,"-")</f>
        <v/>
      </c>
      <c r="H23" s="20">
        <f>66/2498</f>
        <v/>
      </c>
    </row>
    <row r="24" ht="17" customHeight="1">
      <c r="A24" s="21" t="n">
        <v>14</v>
      </c>
      <c r="B24" s="22" t="inlineStr">
        <is>
          <t>Ford</t>
        </is>
      </c>
      <c r="C24" s="21" t="n">
        <v>5</v>
      </c>
      <c r="D24" s="21" t="n">
        <v>15</v>
      </c>
      <c r="E24" s="21" t="n">
        <v>64</v>
      </c>
      <c r="F24" s="23">
        <f>IFERROR(15/5,"-")</f>
        <v/>
      </c>
      <c r="G24" s="23">
        <f>IFERROR(64/15,"-")</f>
        <v/>
      </c>
      <c r="H24" s="24">
        <f>64/2498</f>
        <v/>
      </c>
    </row>
    <row r="25" ht="17" customHeight="1">
      <c r="A25" s="17" t="n">
        <v>15</v>
      </c>
      <c r="B25" s="18" t="inlineStr">
        <is>
          <t>Isuzu</t>
        </is>
      </c>
      <c r="C25" s="17" t="n">
        <v>4</v>
      </c>
      <c r="D25" s="17" t="n">
        <v>7</v>
      </c>
      <c r="E25" s="17" t="n">
        <v>42</v>
      </c>
      <c r="F25" s="19">
        <f>IFERROR(7/4,"-")</f>
        <v/>
      </c>
      <c r="G25" s="19">
        <f>IFERROR(42/7,"-")</f>
        <v/>
      </c>
      <c r="H25" s="20">
        <f>42/2498</f>
        <v/>
      </c>
    </row>
    <row r="26" ht="17" customHeight="1">
      <c r="A26" s="21" t="n">
        <v>16</v>
      </c>
      <c r="B26" s="22" t="inlineStr">
        <is>
          <t>Chevrolet</t>
        </is>
      </c>
      <c r="C26" s="21" t="n">
        <v>7</v>
      </c>
      <c r="D26" s="21" t="n">
        <v>8</v>
      </c>
      <c r="E26" s="21" t="n">
        <v>14</v>
      </c>
      <c r="F26" s="23">
        <f>IFERROR(8/7,"-")</f>
        <v/>
      </c>
      <c r="G26" s="23">
        <f>IFERROR(14/8,"-")</f>
        <v/>
      </c>
      <c r="H26" s="24">
        <f>14/2498</f>
        <v/>
      </c>
    </row>
    <row r="27" ht="17" customHeight="1">
      <c r="A27" s="17" t="n">
        <v>17</v>
      </c>
      <c r="B27" s="18" t="inlineStr">
        <is>
          <t>Mitsubishi</t>
        </is>
      </c>
      <c r="C27" s="17" t="n">
        <v>4</v>
      </c>
      <c r="D27" s="17" t="n">
        <v>4</v>
      </c>
      <c r="E27" s="17" t="n">
        <v>13</v>
      </c>
      <c r="F27" s="19">
        <f>IFERROR(4/4,"-")</f>
        <v/>
      </c>
      <c r="G27" s="19">
        <f>IFERROR(13/4,"-")</f>
        <v/>
      </c>
      <c r="H27" s="20">
        <f>13/2498</f>
        <v/>
      </c>
    </row>
    <row r="28" ht="18" customHeight="1">
      <c r="A28" s="25" t="inlineStr"/>
      <c r="B28" s="26" t="inlineStr">
        <is>
          <t>TOTAL</t>
        </is>
      </c>
      <c r="C28" s="25" t="n">
        <v>17</v>
      </c>
      <c r="D28" s="25" t="n">
        <v>528</v>
      </c>
      <c r="E28" s="25" t="n">
        <v>2498</v>
      </c>
      <c r="F28" s="25" t="inlineStr"/>
      <c r="G28" s="25" t="inlineStr"/>
      <c r="H28" s="25" t="inlineStr">
        <is>
          <t>100%</t>
        </is>
      </c>
    </row>
  </sheetData>
  <mergeCells count="15">
    <mergeCell ref="A9:H9"/>
    <mergeCell ref="A3:H3"/>
    <mergeCell ref="E6:F6"/>
    <mergeCell ref="C6:D6"/>
    <mergeCell ref="C7:D7"/>
    <mergeCell ref="A7:B7"/>
    <mergeCell ref="G7:H7"/>
    <mergeCell ref="E7:F7"/>
    <mergeCell ref="C5:D5"/>
    <mergeCell ref="A5:B5"/>
    <mergeCell ref="G5:H5"/>
    <mergeCell ref="E5:F5"/>
    <mergeCell ref="G6:H6"/>
    <mergeCell ref="A1:H2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3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2" customWidth="1" min="2" max="2"/>
    <col width="26" customWidth="1" min="3" max="3"/>
    <col width="30" customWidth="1" min="4" max="4"/>
    <col width="14" customWidth="1" min="5" max="5"/>
    <col width="60" customWidth="1" min="6" max="6"/>
    <col width="13" customWidth="1" min="7" max="7"/>
  </cols>
  <sheetData>
    <row r="1" ht="22" customHeight="1">
      <c r="A1" s="27" t="inlineStr">
        <is>
          <t>🚗  COMPLETE CAR INVENTORY — Brand · Model · Variant · Colors</t>
        </is>
      </c>
    </row>
    <row r="2" ht="22" customHeight="1"/>
    <row r="3" ht="8" customHeight="1"/>
    <row r="4" ht="20" customHeight="1">
      <c r="A4" s="28" t="inlineStr">
        <is>
          <t>#</t>
        </is>
      </c>
      <c r="B4" s="28" t="inlineStr">
        <is>
          <t>Brand</t>
        </is>
      </c>
      <c r="C4" s="28" t="inlineStr">
        <is>
          <t>Model</t>
        </is>
      </c>
      <c r="D4" s="28" t="inlineStr">
        <is>
          <t>Variant</t>
        </is>
      </c>
      <c r="E4" s="28" t="inlineStr">
        <is>
          <t>Total Colors</t>
        </is>
      </c>
      <c r="F4" s="28" t="inlineStr">
        <is>
          <t>Color Names</t>
        </is>
      </c>
      <c r="G4" s="28" t="inlineStr">
        <is>
          <t>Color Count</t>
        </is>
      </c>
    </row>
    <row r="5" ht="30" customHeight="1">
      <c r="A5" s="29" t="n">
        <v>1</v>
      </c>
      <c r="B5" s="30" t="inlineStr">
        <is>
          <t>Chevrolet</t>
        </is>
      </c>
      <c r="C5" s="31" t="inlineStr">
        <is>
          <t>Captiva</t>
        </is>
      </c>
      <c r="D5" s="32" t="inlineStr">
        <is>
          <t>LT</t>
        </is>
      </c>
      <c r="E5" s="33" t="n">
        <v>1</v>
      </c>
      <c r="F5" s="34" t="inlineStr">
        <is>
          <t>captiva</t>
        </is>
      </c>
      <c r="G5" s="17" t="n">
        <v>1</v>
      </c>
    </row>
    <row r="6" ht="30" customHeight="1">
      <c r="A6" s="35" t="n">
        <v>2</v>
      </c>
      <c r="B6" s="30" t="inlineStr"/>
      <c r="C6" s="36" t="inlineStr"/>
      <c r="D6" s="37" t="inlineStr">
        <is>
          <t>LTZ AWD 2.2</t>
        </is>
      </c>
      <c r="E6" s="38" t="n">
        <v>1</v>
      </c>
      <c r="F6" s="39" t="inlineStr">
        <is>
          <t>captiva</t>
        </is>
      </c>
      <c r="G6" s="40" t="n">
        <v>1</v>
      </c>
    </row>
    <row r="7" ht="30" customHeight="1">
      <c r="A7" s="29" t="n">
        <v>3</v>
      </c>
      <c r="B7" s="30" t="inlineStr"/>
      <c r="C7" s="31" t="inlineStr">
        <is>
          <t>Cruze</t>
        </is>
      </c>
      <c r="D7" s="32" t="inlineStr">
        <is>
          <t>Standard</t>
        </is>
      </c>
      <c r="E7" s="33" t="n">
        <v>1</v>
      </c>
      <c r="F7" s="34" t="inlineStr">
        <is>
          <t>cruze</t>
        </is>
      </c>
      <c r="G7" s="17" t="n">
        <v>1</v>
      </c>
    </row>
    <row r="8" ht="30" customHeight="1">
      <c r="A8" s="35" t="n">
        <v>4</v>
      </c>
      <c r="B8" s="30" t="inlineStr"/>
      <c r="C8" s="41" t="inlineStr">
        <is>
          <t>Optra</t>
        </is>
      </c>
      <c r="D8" s="37" t="inlineStr">
        <is>
          <t>Standard</t>
        </is>
      </c>
      <c r="E8" s="38" t="n">
        <v>1</v>
      </c>
      <c r="F8" s="39" t="inlineStr">
        <is>
          <t>optra</t>
        </is>
      </c>
      <c r="G8" s="40" t="n">
        <v>1</v>
      </c>
    </row>
    <row r="9" ht="30" customHeight="1">
      <c r="A9" s="29" t="n">
        <v>5</v>
      </c>
      <c r="B9" s="30" t="inlineStr"/>
      <c r="C9" s="31" t="inlineStr">
        <is>
          <t>Optra SRV</t>
        </is>
      </c>
      <c r="D9" s="32" t="inlineStr">
        <is>
          <t>Standard</t>
        </is>
      </c>
      <c r="E9" s="33" t="n">
        <v>1</v>
      </c>
      <c r="F9" s="34" t="inlineStr">
        <is>
          <t>optra-srv-2006-2010</t>
        </is>
      </c>
      <c r="G9" s="17" t="n">
        <v>1</v>
      </c>
    </row>
    <row r="10" ht="30" customHeight="1">
      <c r="A10" s="35" t="n">
        <v>6</v>
      </c>
      <c r="B10" s="30" t="inlineStr"/>
      <c r="C10" s="41" t="inlineStr">
        <is>
          <t>Sail</t>
        </is>
      </c>
      <c r="D10" s="37" t="inlineStr">
        <is>
          <t>Standard</t>
        </is>
      </c>
      <c r="E10" s="38" t="n">
        <v>1</v>
      </c>
      <c r="F10" s="39" t="inlineStr">
        <is>
          <t>sail-2012-2014</t>
        </is>
      </c>
      <c r="G10" s="40" t="n">
        <v>1</v>
      </c>
    </row>
    <row r="11" ht="30" customHeight="1">
      <c r="A11" s="29" t="n">
        <v>7</v>
      </c>
      <c r="B11" s="30" t="inlineStr"/>
      <c r="C11" s="31" t="inlineStr">
        <is>
          <t>Tavera</t>
        </is>
      </c>
      <c r="D11" s="32" t="inlineStr">
        <is>
          <t>Standard</t>
        </is>
      </c>
      <c r="E11" s="33" t="n">
        <v>1</v>
      </c>
      <c r="F11" s="34" t="inlineStr">
        <is>
          <t>Tavera</t>
        </is>
      </c>
      <c r="G11" s="17" t="n">
        <v>1</v>
      </c>
    </row>
    <row r="12" ht="30" customHeight="1">
      <c r="A12" s="35" t="n">
        <v>8</v>
      </c>
      <c r="B12" s="30" t="inlineStr"/>
      <c r="C12" s="41" t="inlineStr">
        <is>
          <t>beat</t>
        </is>
      </c>
      <c r="D12" s="37" t="inlineStr">
        <is>
          <t>Standard</t>
        </is>
      </c>
      <c r="E12" s="38" t="n">
        <v>7</v>
      </c>
      <c r="F12" s="39" t="inlineStr">
        <is>
          <t>chevrolet-beat-caviar-black · chevrolet-beat-cocktail-green · chevrolet-beat-pull-me-over-red · chevrolet-beat-sandrift-grey · chevrolet-beat-satin-steel-grey · chevrolet-beat-summit-white · chevrolet-beat-switchblade-silver</t>
        </is>
      </c>
      <c r="G12" s="40" t="n">
        <v>7</v>
      </c>
    </row>
    <row r="13" ht="30" customHeight="1">
      <c r="A13" s="29" t="n">
        <v>9</v>
      </c>
      <c r="B13" s="42" t="inlineStr">
        <is>
          <t>Ford</t>
        </is>
      </c>
      <c r="C13" s="31" t="inlineStr">
        <is>
          <t>EcoSport</t>
        </is>
      </c>
      <c r="D13" s="32" t="inlineStr">
        <is>
          <t>Ambiente 1.5L Ti-VCT</t>
        </is>
      </c>
      <c r="E13" s="33" t="n">
        <v>7</v>
      </c>
      <c r="F13" s="34" t="inlineStr">
        <is>
          <t>Absolute Black · Canyon Ridge · Diamond White · Lightning Blue · Moondust Silver · Race Red · Smoke Grey</t>
        </is>
      </c>
      <c r="G13" s="17" t="n">
        <v>7</v>
      </c>
    </row>
    <row r="14" ht="30" customHeight="1">
      <c r="A14" s="43" t="n">
        <v>10</v>
      </c>
      <c r="B14" s="42" t="inlineStr"/>
      <c r="C14" s="44" t="inlineStr"/>
      <c r="D14" s="45" t="inlineStr">
        <is>
          <t>Thunder Edition Petrol</t>
        </is>
      </c>
      <c r="E14" s="46" t="n">
        <v>7</v>
      </c>
      <c r="F14" s="47" t="inlineStr">
        <is>
          <t>Absolute Black · Canyon Ridge · Diamond White · Lightning Blue · Moondust Silver · Race Red · Smoke Grey</t>
        </is>
      </c>
      <c r="G14" s="48" t="n">
        <v>7</v>
      </c>
    </row>
    <row r="15" ht="30" customHeight="1">
      <c r="A15" s="29" t="n">
        <v>11</v>
      </c>
      <c r="B15" s="42" t="inlineStr"/>
      <c r="C15" s="49" t="inlineStr"/>
      <c r="D15" s="32" t="inlineStr">
        <is>
          <t>Titanium 1.5L TDCi</t>
        </is>
      </c>
      <c r="E15" s="33" t="n">
        <v>7</v>
      </c>
      <c r="F15" s="34" t="inlineStr">
        <is>
          <t>Absolute Black · Canyon Ridge · Diamond White · Lightning Blue · Moondust Silver · Race Red · Smoke Grey</t>
        </is>
      </c>
      <c r="G15" s="17" t="n">
        <v>7</v>
      </c>
    </row>
    <row r="16" ht="30" customHeight="1">
      <c r="A16" s="43" t="n">
        <v>12</v>
      </c>
      <c r="B16" s="42" t="inlineStr"/>
      <c r="C16" s="44" t="inlineStr"/>
      <c r="D16" s="45" t="inlineStr">
        <is>
          <t>Trend 1.5L Ti-VCT</t>
        </is>
      </c>
      <c r="E16" s="46" t="n">
        <v>7</v>
      </c>
      <c r="F16" s="47" t="inlineStr">
        <is>
          <t>Absolute Black · Canyon Ridge · Diamond White · Lightning Blue · Moondust Silver · Race Red · Smoke Grey</t>
        </is>
      </c>
      <c r="G16" s="48" t="n">
        <v>7</v>
      </c>
    </row>
    <row r="17" ht="30" customHeight="1">
      <c r="A17" s="29" t="n">
        <v>13</v>
      </c>
      <c r="B17" s="42" t="inlineStr"/>
      <c r="C17" s="31" t="inlineStr">
        <is>
          <t>Endeavour (Everest)</t>
        </is>
      </c>
      <c r="D17" s="32" t="inlineStr">
        <is>
          <t>Sport 2.0 4x4 AT</t>
        </is>
      </c>
      <c r="E17" s="33" t="n">
        <v>3</v>
      </c>
      <c r="F17" s="34" t="inlineStr">
        <is>
          <t>Absolute Black · Diamond White · Diffused Silver</t>
        </is>
      </c>
      <c r="G17" s="17" t="n">
        <v>3</v>
      </c>
    </row>
    <row r="18" ht="30" customHeight="1">
      <c r="A18" s="43" t="n">
        <v>14</v>
      </c>
      <c r="B18" s="42" t="inlineStr"/>
      <c r="C18" s="44" t="inlineStr"/>
      <c r="D18" s="45" t="inlineStr">
        <is>
          <t>Titanium 2.2 4x2 MT</t>
        </is>
      </c>
      <c r="E18" s="46" t="n">
        <v>3</v>
      </c>
      <c r="F18" s="47" t="inlineStr">
        <is>
          <t>Absolute Black · Diamond White · Diffused Silver</t>
        </is>
      </c>
      <c r="G18" s="48" t="n">
        <v>3</v>
      </c>
    </row>
    <row r="19" ht="30" customHeight="1">
      <c r="A19" s="29" t="n">
        <v>15</v>
      </c>
      <c r="B19" s="42" t="inlineStr"/>
      <c r="C19" s="31" t="inlineStr">
        <is>
          <t>Fiesta Classic</t>
        </is>
      </c>
      <c r="D19" s="32" t="inlineStr">
        <is>
          <t>Ambiente Diesel</t>
        </is>
      </c>
      <c r="E19" s="33" t="n">
        <v>1</v>
      </c>
      <c r="F19" s="34" t="inlineStr">
        <is>
          <t>Ford Fiesta</t>
        </is>
      </c>
      <c r="G19" s="17" t="n">
        <v>1</v>
      </c>
    </row>
    <row r="20" ht="30" customHeight="1">
      <c r="A20" s="43" t="n">
        <v>16</v>
      </c>
      <c r="B20" s="42" t="inlineStr"/>
      <c r="C20" s="44" t="inlineStr"/>
      <c r="D20" s="45" t="inlineStr">
        <is>
          <t>Titanium Diesel</t>
        </is>
      </c>
      <c r="E20" s="46" t="n">
        <v>1</v>
      </c>
      <c r="F20" s="47" t="inlineStr">
        <is>
          <t>Ford Fiesta</t>
        </is>
      </c>
      <c r="G20" s="48" t="n">
        <v>1</v>
      </c>
    </row>
    <row r="21" ht="30" customHeight="1">
      <c r="A21" s="29" t="n">
        <v>17</v>
      </c>
      <c r="B21" s="42" t="inlineStr"/>
      <c r="C21" s="49" t="inlineStr"/>
      <c r="D21" s="32" t="inlineStr">
        <is>
          <t>Trend Diesel</t>
        </is>
      </c>
      <c r="E21" s="33" t="n">
        <v>1</v>
      </c>
      <c r="F21" s="34" t="inlineStr">
        <is>
          <t>Ford Fiesta</t>
        </is>
      </c>
      <c r="G21" s="17" t="n">
        <v>1</v>
      </c>
    </row>
    <row r="22" ht="30" customHeight="1">
      <c r="A22" s="43" t="n">
        <v>18</v>
      </c>
      <c r="B22" s="42" t="inlineStr"/>
      <c r="C22" s="50" t="inlineStr">
        <is>
          <t>Figo</t>
        </is>
      </c>
      <c r="D22" s="45" t="inlineStr">
        <is>
          <t>Ambiente 1.2 Ti-VCT</t>
        </is>
      </c>
      <c r="E22" s="46" t="n">
        <v>4</v>
      </c>
      <c r="F22" s="47" t="inlineStr">
        <is>
          <t>Diamond White · Ruby Red · Smoke Grey · White Gold</t>
        </is>
      </c>
      <c r="G22" s="48" t="n">
        <v>4</v>
      </c>
    </row>
    <row r="23" ht="30" customHeight="1">
      <c r="A23" s="29" t="n">
        <v>19</v>
      </c>
      <c r="B23" s="42" t="inlineStr"/>
      <c r="C23" s="49" t="inlineStr"/>
      <c r="D23" s="32" t="inlineStr">
        <is>
          <t>Titanium 1.2 Ti-VCT</t>
        </is>
      </c>
      <c r="E23" s="33" t="n">
        <v>4</v>
      </c>
      <c r="F23" s="34" t="inlineStr">
        <is>
          <t>Diamond White · Ruby Red · Smoke Grey · White Gold</t>
        </is>
      </c>
      <c r="G23" s="17" t="n">
        <v>4</v>
      </c>
    </row>
    <row r="24" ht="30" customHeight="1">
      <c r="A24" s="43" t="n">
        <v>20</v>
      </c>
      <c r="B24" s="42" t="inlineStr"/>
      <c r="C24" s="44" t="inlineStr"/>
      <c r="D24" s="45" t="inlineStr">
        <is>
          <t>Trend 1.2 Ti-VCT</t>
        </is>
      </c>
      <c r="E24" s="46" t="n">
        <v>4</v>
      </c>
      <c r="F24" s="47" t="inlineStr">
        <is>
          <t>Diamond White · Ruby Red · Smoke Grey · White Gold</t>
        </is>
      </c>
      <c r="G24" s="48" t="n">
        <v>4</v>
      </c>
    </row>
    <row r="25" ht="30" customHeight="1">
      <c r="A25" s="29" t="n">
        <v>21</v>
      </c>
      <c r="B25" s="42" t="inlineStr"/>
      <c r="C25" s="31" t="inlineStr">
        <is>
          <t>Freestyle Aspire</t>
        </is>
      </c>
      <c r="D25" s="32" t="inlineStr">
        <is>
          <t>Ambiente 1.2 Ti-VCT</t>
        </is>
      </c>
      <c r="E25" s="33" t="n">
        <v>5</v>
      </c>
      <c r="F25" s="34" t="inlineStr">
        <is>
          <t>Diamond White · Moondust Silver · Ruby Red · Smoke Grey · White Gold</t>
        </is>
      </c>
      <c r="G25" s="17" t="n">
        <v>5</v>
      </c>
    </row>
    <row r="26" ht="30" customHeight="1">
      <c r="A26" s="43" t="n">
        <v>22</v>
      </c>
      <c r="B26" s="42" t="inlineStr"/>
      <c r="C26" s="44" t="inlineStr"/>
      <c r="D26" s="45" t="inlineStr">
        <is>
          <t>Titanium 1.2 Ti-VCT</t>
        </is>
      </c>
      <c r="E26" s="46" t="n">
        <v>5</v>
      </c>
      <c r="F26" s="47" t="inlineStr">
        <is>
          <t>Diamond White · Moondust Silver · Ruby Red · Smoke Grey · White Gold</t>
        </is>
      </c>
      <c r="G26" s="48" t="n">
        <v>5</v>
      </c>
    </row>
    <row r="27" ht="30" customHeight="1">
      <c r="A27" s="29" t="n">
        <v>23</v>
      </c>
      <c r="B27" s="42" t="inlineStr"/>
      <c r="C27" s="49" t="inlineStr"/>
      <c r="D27" s="32" t="inlineStr">
        <is>
          <t>Trend 1.2 Ti-VCT</t>
        </is>
      </c>
      <c r="E27" s="33" t="n">
        <v>5</v>
      </c>
      <c r="F27" s="34" t="inlineStr">
        <is>
          <t>Diamond White · Moondust Silver · Ruby Red · Smoke Grey · White Gold</t>
        </is>
      </c>
      <c r="G27" s="17" t="n">
        <v>5</v>
      </c>
    </row>
    <row r="28" ht="30" customHeight="1">
      <c r="A28" s="51" t="n">
        <v>24</v>
      </c>
      <c r="B28" s="52" t="inlineStr">
        <is>
          <t>Honda</t>
        </is>
      </c>
      <c r="C28" s="53" t="inlineStr">
        <is>
          <t>Amaze</t>
        </is>
      </c>
      <c r="D28" s="54" t="inlineStr">
        <is>
          <t>Amaze V  Petrol  Automatic</t>
        </is>
      </c>
      <c r="E28" s="55" t="n">
        <v>6</v>
      </c>
      <c r="F28" s="56" t="inlineStr">
        <is>
          <t>Golden Brown Metallic · Lunar Silver Metallic · Meteoroid Grey Metallic · Obsidian Blue Pearl · Platinum White Pearl · Radiant Red Metallic</t>
        </is>
      </c>
      <c r="G28" s="57" t="n">
        <v>6</v>
      </c>
    </row>
    <row r="29" ht="30" customHeight="1">
      <c r="A29" s="29" t="n">
        <v>25</v>
      </c>
      <c r="B29" s="52" t="inlineStr"/>
      <c r="C29" s="49" t="inlineStr"/>
      <c r="D29" s="32" t="inlineStr">
        <is>
          <t>Amaze V  Petrol  Manual</t>
        </is>
      </c>
      <c r="E29" s="33" t="n">
        <v>6</v>
      </c>
      <c r="F29" s="34" t="inlineStr">
        <is>
          <t>Golden Brown Metallic · Lunar Silver Metallic · Meteoroid Grey Metallic · Obsidian Blue Pearl · Platinum White Pearl · Radiant Red Metallic</t>
        </is>
      </c>
      <c r="G29" s="17" t="n">
        <v>6</v>
      </c>
    </row>
    <row r="30" ht="30" customHeight="1">
      <c r="A30" s="51" t="n">
        <v>26</v>
      </c>
      <c r="B30" s="52" t="inlineStr"/>
      <c r="C30" s="58" t="inlineStr"/>
      <c r="D30" s="54" t="inlineStr">
        <is>
          <t>Amaze VX  Petrol  Automatic</t>
        </is>
      </c>
      <c r="E30" s="55" t="n">
        <v>6</v>
      </c>
      <c r="F30" s="56" t="inlineStr">
        <is>
          <t>Golden Brown Metallic · Lunar Silver Metallic · Meteoroid Grey Metallic · Obsidian Blue Pearl · Platinum White Pearl · Radiant Red Metallic</t>
        </is>
      </c>
      <c r="G30" s="57" t="n">
        <v>6</v>
      </c>
    </row>
    <row r="31" ht="30" customHeight="1">
      <c r="A31" s="29" t="n">
        <v>27</v>
      </c>
      <c r="B31" s="52" t="inlineStr"/>
      <c r="C31" s="49" t="inlineStr"/>
      <c r="D31" s="32" t="inlineStr">
        <is>
          <t>Amaze VX  Petrol  Automatic  Elite Pack</t>
        </is>
      </c>
      <c r="E31" s="33" t="n">
        <v>6</v>
      </c>
      <c r="F31" s="34" t="inlineStr">
        <is>
          <t>Golden Brown Metallic · Lunar Silver Metallic · Meteoroid Grey Metallic · Obsidian Blue Pearl · Platinum White Pearl · Radiant Red Metallic</t>
        </is>
      </c>
      <c r="G31" s="17" t="n">
        <v>6</v>
      </c>
    </row>
    <row r="32" ht="30" customHeight="1">
      <c r="A32" s="51" t="n">
        <v>28</v>
      </c>
      <c r="B32" s="52" t="inlineStr"/>
      <c r="C32" s="58" t="inlineStr"/>
      <c r="D32" s="54" t="inlineStr">
        <is>
          <t>Amaze VX  Petrol  Manual</t>
        </is>
      </c>
      <c r="E32" s="55" t="n">
        <v>6</v>
      </c>
      <c r="F32" s="56" t="inlineStr">
        <is>
          <t>Golden Brown Metallic · Lunar Silver Metallic · Meteoroid Grey Metallic · Obsidian Blue Pearl · Platinum White Pearl · Radiant Red Metallic</t>
        </is>
      </c>
      <c r="G32" s="57" t="n">
        <v>6</v>
      </c>
    </row>
    <row r="33" ht="30" customHeight="1">
      <c r="A33" s="29" t="n">
        <v>29</v>
      </c>
      <c r="B33" s="52" t="inlineStr"/>
      <c r="C33" s="49" t="inlineStr"/>
      <c r="D33" s="32" t="inlineStr">
        <is>
          <t>Amaze VX  Petrol  Manual  Elite Pack</t>
        </is>
      </c>
      <c r="E33" s="33" t="n">
        <v>6</v>
      </c>
      <c r="F33" s="34" t="inlineStr">
        <is>
          <t>Golden Brown Metallic · Lunar Silver Metallic · Meteoroid Grey Metallic · Obsidian Blue Pearl · Platinum White Pearl · Radiant Red Metallic</t>
        </is>
      </c>
      <c r="G33" s="17" t="n">
        <v>6</v>
      </c>
    </row>
    <row r="34" ht="30" customHeight="1">
      <c r="A34" s="51" t="n">
        <v>30</v>
      </c>
      <c r="B34" s="52" t="inlineStr"/>
      <c r="C34" s="58" t="inlineStr"/>
      <c r="D34" s="54" t="inlineStr">
        <is>
          <t>Amaze ZX  Petrol  Automatic</t>
        </is>
      </c>
      <c r="E34" s="55" t="n">
        <v>6</v>
      </c>
      <c r="F34" s="56" t="inlineStr">
        <is>
          <t>Golden Brown Metallic · Lunar Silver Metallic · Meteoroid Grey Metallic · Obsidian Blue Pearl · Platinum White Pearl · Radiant Red Metallic</t>
        </is>
      </c>
      <c r="G34" s="57" t="n">
        <v>6</v>
      </c>
    </row>
    <row r="35" ht="30" customHeight="1">
      <c r="A35" s="29" t="n">
        <v>31</v>
      </c>
      <c r="B35" s="52" t="inlineStr"/>
      <c r="C35" s="49" t="inlineStr"/>
      <c r="D35" s="32" t="inlineStr">
        <is>
          <t>Amaze ZX  Petrol  Manual</t>
        </is>
      </c>
      <c r="E35" s="33" t="n">
        <v>6</v>
      </c>
      <c r="F35" s="34" t="inlineStr">
        <is>
          <t>Golden Brown Metallic · Lunar Silver Metallic · Meteoroid Grey Metallic · Obsidian Blue Pearl · Platinum White Pearl · Radiant Red Metallic</t>
        </is>
      </c>
      <c r="G35" s="17" t="n">
        <v>6</v>
      </c>
    </row>
    <row r="36" ht="30" customHeight="1">
      <c r="A36" s="51" t="n">
        <v>32</v>
      </c>
      <c r="B36" s="52" t="inlineStr"/>
      <c r="C36" s="53" t="inlineStr">
        <is>
          <t>BR-V</t>
        </is>
      </c>
      <c r="D36" s="54" t="inlineStr">
        <is>
          <t>E Petrol</t>
        </is>
      </c>
      <c r="E36" s="55" t="n">
        <v>5</v>
      </c>
      <c r="F36" s="56" t="inlineStr">
        <is>
          <t>Alabaster Silver Metallic · Carnelian Red Pearl · Golden Brown Metallic · Modern Steel Metallic · White Orchid Pearl</t>
        </is>
      </c>
      <c r="G36" s="57" t="n">
        <v>5</v>
      </c>
    </row>
    <row r="37" ht="30" customHeight="1">
      <c r="A37" s="29" t="n">
        <v>33</v>
      </c>
      <c r="B37" s="52" t="inlineStr"/>
      <c r="C37" s="49" t="inlineStr"/>
      <c r="D37" s="32" t="inlineStr">
        <is>
          <t>S Petrol</t>
        </is>
      </c>
      <c r="E37" s="33" t="n">
        <v>5</v>
      </c>
      <c r="F37" s="34" t="inlineStr">
        <is>
          <t>Alabaster Silver Metallic · Carnelian Red Pearl · Golden Brown Metallic · Modern Steel Metallic · White Orchid Pearl</t>
        </is>
      </c>
      <c r="G37" s="17" t="n">
        <v>5</v>
      </c>
    </row>
    <row r="38" ht="30" customHeight="1">
      <c r="A38" s="51" t="n">
        <v>34</v>
      </c>
      <c r="B38" s="52" t="inlineStr"/>
      <c r="C38" s="58" t="inlineStr"/>
      <c r="D38" s="54" t="inlineStr">
        <is>
          <t>V Petrol</t>
        </is>
      </c>
      <c r="E38" s="55" t="n">
        <v>5</v>
      </c>
      <c r="F38" s="56" t="inlineStr">
        <is>
          <t>Alabaster Silver Metallic · Carnelian Red Pearl · Golden Brown Metallic · Modern Steel Metallic · White Orchid Pearl</t>
        </is>
      </c>
      <c r="G38" s="57" t="n">
        <v>5</v>
      </c>
    </row>
    <row r="39" ht="30" customHeight="1">
      <c r="A39" s="29" t="n">
        <v>35</v>
      </c>
      <c r="B39" s="52" t="inlineStr"/>
      <c r="C39" s="49" t="inlineStr"/>
      <c r="D39" s="32" t="inlineStr">
        <is>
          <t>VX Diesel [2016-2017]</t>
        </is>
      </c>
      <c r="E39" s="33" t="n">
        <v>5</v>
      </c>
      <c r="F39" s="34" t="inlineStr">
        <is>
          <t>Alabaster Silver Metallic · Carnelian Red Pearl · Golden Brown Metallic · Modern Steel Metallic · White Orchid Pearl</t>
        </is>
      </c>
      <c r="G39" s="17" t="n">
        <v>5</v>
      </c>
    </row>
    <row r="40" ht="30" customHeight="1">
      <c r="A40" s="51" t="n">
        <v>36</v>
      </c>
      <c r="B40" s="52" t="inlineStr"/>
      <c r="C40" s="58" t="inlineStr"/>
      <c r="D40" s="54" t="inlineStr">
        <is>
          <t>VX Petrol</t>
        </is>
      </c>
      <c r="E40" s="55" t="n">
        <v>5</v>
      </c>
      <c r="F40" s="56" t="inlineStr">
        <is>
          <t>Alabaster Silver Metallic · Carnelian Red Pearl · Golden Brown Metallic · Modern Steel Metallic · White Orchid Pearl</t>
        </is>
      </c>
      <c r="G40" s="57" t="n">
        <v>5</v>
      </c>
    </row>
    <row r="41" ht="30" customHeight="1">
      <c r="A41" s="29" t="n">
        <v>37</v>
      </c>
      <c r="B41" s="52" t="inlineStr"/>
      <c r="C41" s="31" t="inlineStr">
        <is>
          <t>City</t>
        </is>
      </c>
      <c r="D41" s="32" t="inlineStr">
        <is>
          <t>City SV  Petrol  Manual</t>
        </is>
      </c>
      <c r="E41" s="33" t="n">
        <v>4</v>
      </c>
      <c r="F41" s="34" t="inlineStr">
        <is>
          <t>Golden Brown Metallic · Lunar Silver Metallic · Meteoroid Grey Metallic · Platinum White Pearl</t>
        </is>
      </c>
      <c r="G41" s="17" t="n">
        <v>4</v>
      </c>
    </row>
    <row r="42" ht="30" customHeight="1">
      <c r="A42" s="51" t="n">
        <v>38</v>
      </c>
      <c r="B42" s="52" t="inlineStr"/>
      <c r="C42" s="58" t="inlineStr"/>
      <c r="D42" s="54" t="inlineStr">
        <is>
          <t>City V  Petrol  Manual</t>
        </is>
      </c>
      <c r="E42" s="55" t="n">
        <v>6</v>
      </c>
      <c r="F42" s="56" t="inlineStr">
        <is>
          <t>Golden Brown Metallic · Lunar Silver Metallic · Meteoroid Grey Metallic · Obsidian Blue Pearl · Platinum White Pearl · Radiant Red Metallic</t>
        </is>
      </c>
      <c r="G42" s="57" t="n">
        <v>6</v>
      </c>
    </row>
    <row r="43" ht="30" customHeight="1">
      <c r="A43" s="29" t="n">
        <v>39</v>
      </c>
      <c r="B43" s="52" t="inlineStr"/>
      <c r="C43" s="49" t="inlineStr"/>
      <c r="D43" s="32" t="inlineStr">
        <is>
          <t>City VX  Petrol  Manual</t>
        </is>
      </c>
      <c r="E43" s="33" t="n">
        <v>6</v>
      </c>
      <c r="F43" s="34" t="inlineStr">
        <is>
          <t>Golden Brown Metallic · Lunar Silver Metallic · Meteoroid Grey Metallic · Obsidian Blue Pearl · Platinum White Pearl · Radiant Red Metallic</t>
        </is>
      </c>
      <c r="G43" s="17" t="n">
        <v>6</v>
      </c>
    </row>
    <row r="44" ht="30" customHeight="1">
      <c r="A44" s="51" t="n">
        <v>40</v>
      </c>
      <c r="B44" s="52" t="inlineStr"/>
      <c r="C44" s="58" t="inlineStr"/>
      <c r="D44" s="54" t="inlineStr">
        <is>
          <t>City ZX  Petrol  Manual</t>
        </is>
      </c>
      <c r="E44" s="55" t="n">
        <v>6</v>
      </c>
      <c r="F44" s="56" t="inlineStr">
        <is>
          <t>Golden Brown Metallic · Lunar Silver Metallic · Meteoroid Grey Metallic · Obsidian Blue Pearl · Platinum White Pearl · Radiant Red Metallic</t>
        </is>
      </c>
      <c r="G44" s="57" t="n">
        <v>6</v>
      </c>
    </row>
    <row r="45" ht="30" customHeight="1">
      <c r="A45" s="29" t="n">
        <v>41</v>
      </c>
      <c r="B45" s="52" t="inlineStr"/>
      <c r="C45" s="31" t="inlineStr">
        <is>
          <t>Elevate</t>
        </is>
      </c>
      <c r="D45" s="32" t="inlineStr">
        <is>
          <t>Elevate SV  Petrol  Manual</t>
        </is>
      </c>
      <c r="E45" s="33" t="n">
        <v>2</v>
      </c>
      <c r="F45" s="34" t="inlineStr">
        <is>
          <t>Lunar Silver Metallic · Platinum White Pearl</t>
        </is>
      </c>
      <c r="G45" s="17" t="n">
        <v>2</v>
      </c>
    </row>
    <row r="46" ht="30" customHeight="1">
      <c r="A46" s="51" t="n">
        <v>42</v>
      </c>
      <c r="B46" s="52" t="inlineStr"/>
      <c r="C46" s="58" t="inlineStr"/>
      <c r="D46" s="54" t="inlineStr">
        <is>
          <t>Elevate V  Petrol  Manual</t>
        </is>
      </c>
      <c r="E46" s="55" t="n">
        <v>6</v>
      </c>
      <c r="F46" s="56" t="inlineStr">
        <is>
          <t>Golden Brown Metallic · Lunar Silver Metallic · Meteoroid Grey Metallic · Obsidian Blue Pearl · Platinum White Pearl · Radiant Red Metallic</t>
        </is>
      </c>
      <c r="G46" s="57" t="n">
        <v>6</v>
      </c>
    </row>
    <row r="47" ht="30" customHeight="1">
      <c r="A47" s="29" t="n">
        <v>43</v>
      </c>
      <c r="B47" s="52" t="inlineStr"/>
      <c r="C47" s="49" t="inlineStr"/>
      <c r="D47" s="32" t="inlineStr">
        <is>
          <t>Elevate VX  Petrol  Manual</t>
        </is>
      </c>
      <c r="E47" s="33" t="n">
        <v>6</v>
      </c>
      <c r="F47" s="34" t="inlineStr">
        <is>
          <t>Golden Brown Metallic · Lunar Silver Metallic · Meteoroid Grey Metallic · Obsidian Blue Pearl · Platinum White Pearl · Radiant Red Metallic</t>
        </is>
      </c>
      <c r="G47" s="17" t="n">
        <v>6</v>
      </c>
    </row>
    <row r="48" ht="30" customHeight="1">
      <c r="A48" s="51" t="n">
        <v>44</v>
      </c>
      <c r="B48" s="52" t="inlineStr"/>
      <c r="C48" s="58" t="inlineStr"/>
      <c r="D48" s="54" t="inlineStr">
        <is>
          <t>Elevate ZX  Petrol  Automatic  Dual Tone  ADV Edition</t>
        </is>
      </c>
      <c r="E48" s="55" t="n">
        <v>2</v>
      </c>
      <c r="F48" s="56" t="inlineStr">
        <is>
          <t>Platinum White Pearl with Crystal Black Pearl roof · Radiant Red Metallic with Crystal Black Pearl roof</t>
        </is>
      </c>
      <c r="G48" s="57" t="n">
        <v>2</v>
      </c>
    </row>
    <row r="49" ht="30" customHeight="1">
      <c r="A49" s="29" t="n">
        <v>45</v>
      </c>
      <c r="B49" s="52" t="inlineStr"/>
      <c r="C49" s="49" t="inlineStr"/>
      <c r="D49" s="32" t="inlineStr">
        <is>
          <t>Elevate ZX  Petrol  Manual</t>
        </is>
      </c>
      <c r="E49" s="33" t="n">
        <v>6</v>
      </c>
      <c r="F49" s="34" t="inlineStr">
        <is>
          <t>Golden Brown Metallic · Lunar Silver Metallic · Meteoroid Grey Metallic · Obsidian Blue Pearl · Platinum White Pearl · Radiant Red Metallic</t>
        </is>
      </c>
      <c r="G49" s="17" t="n">
        <v>6</v>
      </c>
    </row>
    <row r="50" ht="30" customHeight="1">
      <c r="A50" s="51" t="n">
        <v>46</v>
      </c>
      <c r="B50" s="52" t="inlineStr"/>
      <c r="C50" s="58" t="inlineStr"/>
      <c r="D50" s="54" t="inlineStr">
        <is>
          <t>Elevate ZX Petrol Automatic Black Edition</t>
        </is>
      </c>
      <c r="E50" s="55" t="n">
        <v>1</v>
      </c>
      <c r="F50" s="56" t="inlineStr">
        <is>
          <t>Crystal Black Pearl</t>
        </is>
      </c>
      <c r="G50" s="57" t="n">
        <v>1</v>
      </c>
    </row>
    <row r="51" ht="30" customHeight="1">
      <c r="A51" s="29" t="n">
        <v>47</v>
      </c>
      <c r="B51" s="52" t="inlineStr"/>
      <c r="C51" s="31" t="inlineStr">
        <is>
          <t>Jazz</t>
        </is>
      </c>
      <c r="D51" s="32" t="inlineStr">
        <is>
          <t>V</t>
        </is>
      </c>
      <c r="E51" s="33" t="n">
        <v>4</v>
      </c>
      <c r="F51" s="34" t="inlineStr">
        <is>
          <t>Golden Brown Metallic · Lunar Silver Metallic · Platinum White Pearl · Radiant Red Metallic</t>
        </is>
      </c>
      <c r="G51" s="17" t="n">
        <v>4</v>
      </c>
    </row>
    <row r="52" ht="30" customHeight="1">
      <c r="A52" s="51" t="n">
        <v>48</v>
      </c>
      <c r="B52" s="52" t="inlineStr"/>
      <c r="C52" s="58" t="inlineStr"/>
      <c r="D52" s="54" t="inlineStr">
        <is>
          <t>V CVT</t>
        </is>
      </c>
      <c r="E52" s="55" t="n">
        <v>4</v>
      </c>
      <c r="F52" s="56" t="inlineStr">
        <is>
          <t>Golden Brown Metallic · Lunar Silver Metallic · Platinum White Pearl · Radiant Red Metallic</t>
        </is>
      </c>
      <c r="G52" s="57" t="n">
        <v>4</v>
      </c>
    </row>
    <row r="53" ht="30" customHeight="1">
      <c r="A53" s="29" t="n">
        <v>49</v>
      </c>
      <c r="B53" s="52" t="inlineStr"/>
      <c r="C53" s="49" t="inlineStr"/>
      <c r="D53" s="32" t="inlineStr">
        <is>
          <t>VX</t>
        </is>
      </c>
      <c r="E53" s="33" t="n">
        <v>4</v>
      </c>
      <c r="F53" s="34" t="inlineStr">
        <is>
          <t>Golden Brown Metallic · Lunar Silver Metallic · Platinum White Pearl · Radiant Red Metallic</t>
        </is>
      </c>
      <c r="G53" s="17" t="n">
        <v>4</v>
      </c>
    </row>
    <row r="54" ht="30" customHeight="1">
      <c r="A54" s="51" t="n">
        <v>50</v>
      </c>
      <c r="B54" s="52" t="inlineStr"/>
      <c r="C54" s="58" t="inlineStr"/>
      <c r="D54" s="54" t="inlineStr">
        <is>
          <t>ZX</t>
        </is>
      </c>
      <c r="E54" s="55" t="n">
        <v>4</v>
      </c>
      <c r="F54" s="56" t="inlineStr">
        <is>
          <t>Golden Brown Metallic · Lunar Silver Metallic · Platinum White Pearl · Radiant Red Metallic</t>
        </is>
      </c>
      <c r="G54" s="57" t="n">
        <v>4</v>
      </c>
    </row>
    <row r="55" ht="30" customHeight="1">
      <c r="A55" s="29" t="n">
        <v>51</v>
      </c>
      <c r="B55" s="52" t="inlineStr"/>
      <c r="C55" s="31" t="inlineStr">
        <is>
          <t>WR-V</t>
        </is>
      </c>
      <c r="D55" s="32" t="inlineStr">
        <is>
          <t>Exclusive Edition Diesel</t>
        </is>
      </c>
      <c r="E55" s="33" t="n">
        <v>4</v>
      </c>
      <c r="F55" s="34" t="inlineStr">
        <is>
          <t>Golden Brown Metallic · Lunar Silver Metallic · Platinum White Pearl · Radiant Red Metallic</t>
        </is>
      </c>
      <c r="G55" s="17" t="n">
        <v>4</v>
      </c>
    </row>
    <row r="56" ht="30" customHeight="1">
      <c r="A56" s="51" t="n">
        <v>52</v>
      </c>
      <c r="B56" s="52" t="inlineStr"/>
      <c r="C56" s="58" t="inlineStr"/>
      <c r="D56" s="54" t="inlineStr">
        <is>
          <t>Exclusive Edition Petrol</t>
        </is>
      </c>
      <c r="E56" s="55" t="n">
        <v>4</v>
      </c>
      <c r="F56" s="56" t="inlineStr">
        <is>
          <t>Golden Brown Metallic · Lunar Silver Metallic · Platinum White Pearl · Radiant Red Metallic</t>
        </is>
      </c>
      <c r="G56" s="57" t="n">
        <v>4</v>
      </c>
    </row>
    <row r="57" ht="30" customHeight="1">
      <c r="A57" s="29" t="n">
        <v>53</v>
      </c>
      <c r="B57" s="52" t="inlineStr"/>
      <c r="C57" s="49" t="inlineStr"/>
      <c r="D57" s="32" t="inlineStr">
        <is>
          <t>SV MT Diesel</t>
        </is>
      </c>
      <c r="E57" s="33" t="n">
        <v>4</v>
      </c>
      <c r="F57" s="34" t="inlineStr">
        <is>
          <t>Golden Brown Metallic · Lunar Silver Metallic · Platinum White Pearl · Radiant Red Metallic</t>
        </is>
      </c>
      <c r="G57" s="17" t="n">
        <v>4</v>
      </c>
    </row>
    <row r="58" ht="30" customHeight="1">
      <c r="A58" s="51" t="n">
        <v>54</v>
      </c>
      <c r="B58" s="52" t="inlineStr"/>
      <c r="C58" s="58" t="inlineStr"/>
      <c r="D58" s="54" t="inlineStr">
        <is>
          <t>SV MT Petrol</t>
        </is>
      </c>
      <c r="E58" s="55" t="n">
        <v>4</v>
      </c>
      <c r="F58" s="56" t="inlineStr">
        <is>
          <t>Golden Brown Metallic · Lunar Silver Metallic · Platinum White Pearl · Radiant Red Metallic</t>
        </is>
      </c>
      <c r="G58" s="57" t="n">
        <v>4</v>
      </c>
    </row>
    <row r="59" ht="30" customHeight="1">
      <c r="A59" s="29" t="n">
        <v>55</v>
      </c>
      <c r="B59" s="52" t="inlineStr"/>
      <c r="C59" s="49" t="inlineStr"/>
      <c r="D59" s="32" t="inlineStr">
        <is>
          <t>VX MT Diesel</t>
        </is>
      </c>
      <c r="E59" s="33" t="n">
        <v>4</v>
      </c>
      <c r="F59" s="34" t="inlineStr">
        <is>
          <t>Golden Brown Metallic · Lunar Silver Metallic · Platinum White Pearl · Radiant Red Metallic</t>
        </is>
      </c>
      <c r="G59" s="17" t="n">
        <v>4</v>
      </c>
    </row>
    <row r="60" ht="30" customHeight="1">
      <c r="A60" s="51" t="n">
        <v>56</v>
      </c>
      <c r="B60" s="52" t="inlineStr"/>
      <c r="C60" s="58" t="inlineStr"/>
      <c r="D60" s="54" t="inlineStr">
        <is>
          <t>VX MT Petrol</t>
        </is>
      </c>
      <c r="E60" s="55" t="n">
        <v>4</v>
      </c>
      <c r="F60" s="56" t="inlineStr">
        <is>
          <t>Golden Brown Metallic · Lunar Silver Metallic · Platinum White Pearl · Radiant Red Metallic</t>
        </is>
      </c>
      <c r="G60" s="57" t="n">
        <v>4</v>
      </c>
    </row>
    <row r="61" ht="30" customHeight="1">
      <c r="A61" s="29" t="n">
        <v>57</v>
      </c>
      <c r="B61" s="59" t="inlineStr">
        <is>
          <t>Hyundai</t>
        </is>
      </c>
      <c r="C61" s="31" t="inlineStr">
        <is>
          <t>Alcazar</t>
        </is>
      </c>
      <c r="D61" s="32" t="inlineStr">
        <is>
          <t>Alcazar Corporate</t>
        </is>
      </c>
      <c r="E61" s="33" t="n">
        <v>4</v>
      </c>
      <c r="F61" s="34" t="inlineStr">
        <is>
          <t>Atlas White · Robust Emerald Pearl · Starry Night · Titanium Black</t>
        </is>
      </c>
      <c r="G61" s="17" t="n">
        <v>4</v>
      </c>
    </row>
    <row r="62" ht="30" customHeight="1">
      <c r="A62" s="60" t="n">
        <v>58</v>
      </c>
      <c r="B62" s="59" t="inlineStr"/>
      <c r="C62" s="61" t="inlineStr"/>
      <c r="D62" s="62" t="inlineStr">
        <is>
          <t>Alcazar Executive</t>
        </is>
      </c>
      <c r="E62" s="63" t="n">
        <v>4</v>
      </c>
      <c r="F62" s="64" t="inlineStr">
        <is>
          <t>Atlas White · Robust Emerald Pearl · Starry Night · Titanium Black</t>
        </is>
      </c>
      <c r="G62" s="65" t="n">
        <v>4</v>
      </c>
    </row>
    <row r="63" ht="30" customHeight="1">
      <c r="A63" s="29" t="n">
        <v>59</v>
      </c>
      <c r="B63" s="59" t="inlineStr"/>
      <c r="C63" s="49" t="inlineStr"/>
      <c r="D63" s="32" t="inlineStr">
        <is>
          <t>Alcazar Platinum</t>
        </is>
      </c>
      <c r="E63" s="33" t="n">
        <v>4</v>
      </c>
      <c r="F63" s="34" t="inlineStr">
        <is>
          <t>Atlas White · Robust Emerald Pearl · Starry Night · Titanium Black</t>
        </is>
      </c>
      <c r="G63" s="17" t="n">
        <v>4</v>
      </c>
    </row>
    <row r="64" ht="30" customHeight="1">
      <c r="A64" s="60" t="n">
        <v>60</v>
      </c>
      <c r="B64" s="59" t="inlineStr"/>
      <c r="C64" s="61" t="inlineStr"/>
      <c r="D64" s="62" t="inlineStr">
        <is>
          <t>Alcazar Prestige</t>
        </is>
      </c>
      <c r="E64" s="63" t="n">
        <v>4</v>
      </c>
      <c r="F64" s="64" t="inlineStr">
        <is>
          <t>Atlas White · Robust Emerald Pearl · Starry Night · Titanium Black</t>
        </is>
      </c>
      <c r="G64" s="65" t="n">
        <v>4</v>
      </c>
    </row>
    <row r="65" ht="30" customHeight="1">
      <c r="A65" s="29" t="n">
        <v>61</v>
      </c>
      <c r="B65" s="59" t="inlineStr"/>
      <c r="C65" s="49" t="inlineStr"/>
      <c r="D65" s="32" t="inlineStr">
        <is>
          <t>Alcazar Signature</t>
        </is>
      </c>
      <c r="E65" s="33" t="n">
        <v>4</v>
      </c>
      <c r="F65" s="34" t="inlineStr">
        <is>
          <t>Atlas White · Robust Emerald Pearl · Starry Night · Titanium Black</t>
        </is>
      </c>
      <c r="G65" s="17" t="n">
        <v>4</v>
      </c>
    </row>
    <row r="66" ht="30" customHeight="1">
      <c r="A66" s="60" t="n">
        <v>62</v>
      </c>
      <c r="B66" s="59" t="inlineStr"/>
      <c r="C66" s="61" t="inlineStr"/>
      <c r="D66" s="62" t="inlineStr">
        <is>
          <t>Alcazar Signature Knight</t>
        </is>
      </c>
      <c r="E66" s="63" t="n">
        <v>4</v>
      </c>
      <c r="F66" s="64" t="inlineStr">
        <is>
          <t>Atlas White · Robust Emerald Pearl · Starry Night · Titanium Black</t>
        </is>
      </c>
      <c r="G66" s="65" t="n">
        <v>4</v>
      </c>
    </row>
    <row r="67" ht="30" customHeight="1">
      <c r="A67" s="29" t="n">
        <v>63</v>
      </c>
      <c r="B67" s="59" t="inlineStr"/>
      <c r="C67" s="31" t="inlineStr">
        <is>
          <t>Creta</t>
        </is>
      </c>
      <c r="D67" s="32" t="inlineStr">
        <is>
          <t>Creta E</t>
        </is>
      </c>
      <c r="E67" s="33" t="n">
        <v>5</v>
      </c>
      <c r="F67" s="34" t="inlineStr">
        <is>
          <t>Atlas White · Ranger Khaki · Robust Emerald Pearl · Titan Grey Matte · Titanium Black</t>
        </is>
      </c>
      <c r="G67" s="17" t="n">
        <v>5</v>
      </c>
    </row>
    <row r="68" ht="30" customHeight="1">
      <c r="A68" s="60" t="n">
        <v>64</v>
      </c>
      <c r="B68" s="59" t="inlineStr"/>
      <c r="C68" s="61" t="inlineStr"/>
      <c r="D68" s="62" t="inlineStr">
        <is>
          <t>Creta EX</t>
        </is>
      </c>
      <c r="E68" s="63" t="n">
        <v>5</v>
      </c>
      <c r="F68" s="64" t="inlineStr">
        <is>
          <t>Atlas White · Ranger Khaki · Robust Emerald Pearl · Titan Grey Matte · Titanium Black</t>
        </is>
      </c>
      <c r="G68" s="65" t="n">
        <v>5</v>
      </c>
    </row>
    <row r="69" ht="30" customHeight="1">
      <c r="A69" s="29" t="n">
        <v>65</v>
      </c>
      <c r="B69" s="59" t="inlineStr"/>
      <c r="C69" s="49" t="inlineStr"/>
      <c r="D69" s="32" t="inlineStr">
        <is>
          <t>Creta EX (O)</t>
        </is>
      </c>
      <c r="E69" s="33" t="n">
        <v>5</v>
      </c>
      <c r="F69" s="34" t="inlineStr">
        <is>
          <t>Atlas White · Ranger Khaki · Robust Emerald Pearl · Titan Grey Matte · Titanium Black</t>
        </is>
      </c>
      <c r="G69" s="17" t="n">
        <v>5</v>
      </c>
    </row>
    <row r="70" ht="30" customHeight="1">
      <c r="A70" s="60" t="n">
        <v>66</v>
      </c>
      <c r="B70" s="59" t="inlineStr"/>
      <c r="C70" s="61" t="inlineStr"/>
      <c r="D70" s="62" t="inlineStr">
        <is>
          <t>Creta King Edition</t>
        </is>
      </c>
      <c r="E70" s="63" t="n">
        <v>3</v>
      </c>
      <c r="F70" s="64" t="inlineStr">
        <is>
          <t>Atlas White · King Limited Edition Titanium Black Matte · Titanium Black</t>
        </is>
      </c>
      <c r="G70" s="65" t="n">
        <v>3</v>
      </c>
    </row>
    <row r="71" ht="30" customHeight="1">
      <c r="A71" s="29" t="n">
        <v>67</v>
      </c>
      <c r="B71" s="59" t="inlineStr"/>
      <c r="C71" s="49" t="inlineStr"/>
      <c r="D71" s="32" t="inlineStr">
        <is>
          <t>Creta King Knight Edition</t>
        </is>
      </c>
      <c r="E71" s="33" t="n">
        <v>3</v>
      </c>
      <c r="F71" s="34" t="inlineStr">
        <is>
          <t>Atlas White · King Limited Edition Titanium Black Matte · Titanium Black</t>
        </is>
      </c>
      <c r="G71" s="17" t="n">
        <v>3</v>
      </c>
    </row>
    <row r="72" ht="30" customHeight="1">
      <c r="A72" s="60" t="n">
        <v>68</v>
      </c>
      <c r="B72" s="59" t="inlineStr"/>
      <c r="C72" s="61" t="inlineStr"/>
      <c r="D72" s="62" t="inlineStr">
        <is>
          <t>Creta King Limited Edition</t>
        </is>
      </c>
      <c r="E72" s="63" t="n">
        <v>3</v>
      </c>
      <c r="F72" s="64" t="inlineStr">
        <is>
          <t>Atlas White · King Limited Edition Titanium Black Matte · Titanium Black</t>
        </is>
      </c>
      <c r="G72" s="65" t="n">
        <v>3</v>
      </c>
    </row>
    <row r="73" ht="30" customHeight="1">
      <c r="A73" s="29" t="n">
        <v>69</v>
      </c>
      <c r="B73" s="59" t="inlineStr"/>
      <c r="C73" s="49" t="inlineStr"/>
      <c r="D73" s="32" t="inlineStr">
        <is>
          <t>Creta S</t>
        </is>
      </c>
      <c r="E73" s="33" t="n">
        <v>5</v>
      </c>
      <c r="F73" s="34" t="inlineStr">
        <is>
          <t>Atlas White · Ranger Khaki · Robust Emerald Pearl · Titan Grey Matte · Titanium Black</t>
        </is>
      </c>
      <c r="G73" s="17" t="n">
        <v>5</v>
      </c>
    </row>
    <row r="74" ht="30" customHeight="1">
      <c r="A74" s="60" t="n">
        <v>70</v>
      </c>
      <c r="B74" s="59" t="inlineStr"/>
      <c r="C74" s="61" t="inlineStr"/>
      <c r="D74" s="62" t="inlineStr">
        <is>
          <t>Creta S (O)</t>
        </is>
      </c>
      <c r="E74" s="63" t="n">
        <v>5</v>
      </c>
      <c r="F74" s="64" t="inlineStr">
        <is>
          <t>Atlas White · Ranger Khaki · Robust Emerald Pearl · Titan Grey Matte · Titanium Black</t>
        </is>
      </c>
      <c r="G74" s="65" t="n">
        <v>5</v>
      </c>
    </row>
    <row r="75" ht="30" customHeight="1">
      <c r="A75" s="29" t="n">
        <v>71</v>
      </c>
      <c r="B75" s="59" t="inlineStr"/>
      <c r="C75" s="49" t="inlineStr"/>
      <c r="D75" s="32" t="inlineStr">
        <is>
          <t>Creta S (O) Knight</t>
        </is>
      </c>
      <c r="E75" s="33" t="n">
        <v>1</v>
      </c>
      <c r="F75" s="34" t="inlineStr">
        <is>
          <t>Atlas White with Titanium Black</t>
        </is>
      </c>
      <c r="G75" s="17" t="n">
        <v>1</v>
      </c>
    </row>
    <row r="76" ht="30" customHeight="1">
      <c r="A76" s="60" t="n">
        <v>72</v>
      </c>
      <c r="B76" s="59" t="inlineStr"/>
      <c r="C76" s="61" t="inlineStr"/>
      <c r="D76" s="62" t="inlineStr">
        <is>
          <t>Creta SX</t>
        </is>
      </c>
      <c r="E76" s="63" t="n">
        <v>5</v>
      </c>
      <c r="F76" s="64" t="inlineStr">
        <is>
          <t>Atlas White · Ranger Khaki · Robust Emerald Pearl · Titan Grey Matte · Titanium Black</t>
        </is>
      </c>
      <c r="G76" s="65" t="n">
        <v>5</v>
      </c>
    </row>
    <row r="77" ht="30" customHeight="1">
      <c r="A77" s="29" t="n">
        <v>73</v>
      </c>
      <c r="B77" s="59" t="inlineStr"/>
      <c r="C77" s="49" t="inlineStr"/>
      <c r="D77" s="32" t="inlineStr">
        <is>
          <t>Creta SX (O)</t>
        </is>
      </c>
      <c r="E77" s="33" t="n">
        <v>1</v>
      </c>
      <c r="F77" s="34" t="inlineStr">
        <is>
          <t>Atlas White with Titanium Black</t>
        </is>
      </c>
      <c r="G77" s="17" t="n">
        <v>1</v>
      </c>
    </row>
    <row r="78" ht="30" customHeight="1">
      <c r="A78" s="60" t="n">
        <v>74</v>
      </c>
      <c r="B78" s="59" t="inlineStr"/>
      <c r="C78" s="61" t="inlineStr"/>
      <c r="D78" s="62" t="inlineStr">
        <is>
          <t>Creta SX (O) Knight</t>
        </is>
      </c>
      <c r="E78" s="63" t="n">
        <v>1</v>
      </c>
      <c r="F78" s="64" t="inlineStr">
        <is>
          <t>Titanium Black</t>
        </is>
      </c>
      <c r="G78" s="65" t="n">
        <v>1</v>
      </c>
    </row>
    <row r="79" ht="30" customHeight="1">
      <c r="A79" s="29" t="n">
        <v>75</v>
      </c>
      <c r="B79" s="59" t="inlineStr"/>
      <c r="C79" s="49" t="inlineStr"/>
      <c r="D79" s="32" t="inlineStr">
        <is>
          <t>Creta SX Premium</t>
        </is>
      </c>
      <c r="E79" s="33" t="n">
        <v>1</v>
      </c>
      <c r="F79" s="34" t="inlineStr">
        <is>
          <t>Robust Emerald Pearl</t>
        </is>
      </c>
      <c r="G79" s="17" t="n">
        <v>1</v>
      </c>
    </row>
    <row r="80" ht="30" customHeight="1">
      <c r="A80" s="60" t="n">
        <v>76</v>
      </c>
      <c r="B80" s="59" t="inlineStr"/>
      <c r="C80" s="61" t="inlineStr"/>
      <c r="D80" s="62" t="inlineStr">
        <is>
          <t>Creta SX Tech</t>
        </is>
      </c>
      <c r="E80" s="63" t="n">
        <v>5</v>
      </c>
      <c r="F80" s="64" t="inlineStr">
        <is>
          <t>Atlas White · Ranger Khaki · Robust Emerald Pearl · Titan Grey Matte · Titanium Black</t>
        </is>
      </c>
      <c r="G80" s="65" t="n">
        <v>5</v>
      </c>
    </row>
    <row r="81" ht="30" customHeight="1">
      <c r="A81" s="29" t="n">
        <v>77</v>
      </c>
      <c r="B81" s="59" t="inlineStr"/>
      <c r="C81" s="31" t="inlineStr">
        <is>
          <t>Exter</t>
        </is>
      </c>
      <c r="D81" s="32" t="inlineStr">
        <is>
          <t>Exter HX 10</t>
        </is>
      </c>
      <c r="E81" s="33" t="n">
        <v>7</v>
      </c>
      <c r="F81" s="34" t="inlineStr">
        <is>
          <t>Atlas White · Golden Bronze · Ranger Khaki · Starry Night · Titan Grey · Titanium Black · Titanium Black Matte</t>
        </is>
      </c>
      <c r="G81" s="17" t="n">
        <v>7</v>
      </c>
    </row>
    <row r="82" ht="30" customHeight="1">
      <c r="A82" s="60" t="n">
        <v>78</v>
      </c>
      <c r="B82" s="59" t="inlineStr"/>
      <c r="C82" s="61" t="inlineStr"/>
      <c r="D82" s="62" t="inlineStr">
        <is>
          <t>Exter HX 2</t>
        </is>
      </c>
      <c r="E82" s="63" t="n">
        <v>7</v>
      </c>
      <c r="F82" s="64" t="inlineStr">
        <is>
          <t>Atlas White · Golden Bronze · Ranger Khaki · Starry Night · Titan Grey · Titanium Black · Titanium Black Matte</t>
        </is>
      </c>
      <c r="G82" s="65" t="n">
        <v>7</v>
      </c>
    </row>
    <row r="83" ht="30" customHeight="1">
      <c r="A83" s="29" t="n">
        <v>79</v>
      </c>
      <c r="B83" s="59" t="inlineStr"/>
      <c r="C83" s="49" t="inlineStr"/>
      <c r="D83" s="32" t="inlineStr">
        <is>
          <t>Exter HX 3</t>
        </is>
      </c>
      <c r="E83" s="33" t="n">
        <v>7</v>
      </c>
      <c r="F83" s="34" t="inlineStr">
        <is>
          <t>Atlas White · Golden Bronze · Ranger Khaki · Starry Night · Titan Grey · Titanium Black · Titanium Black Matte</t>
        </is>
      </c>
      <c r="G83" s="17" t="n">
        <v>7</v>
      </c>
    </row>
    <row r="84" ht="30" customHeight="1">
      <c r="A84" s="60" t="n">
        <v>80</v>
      </c>
      <c r="B84" s="59" t="inlineStr"/>
      <c r="C84" s="61" t="inlineStr"/>
      <c r="D84" s="62" t="inlineStr">
        <is>
          <t>Exter HX 4</t>
        </is>
      </c>
      <c r="E84" s="63" t="n">
        <v>7</v>
      </c>
      <c r="F84" s="64" t="inlineStr">
        <is>
          <t>Atlas White · Golden Bronze · Ranger Khaki · Starry Night · Titan Grey · Titanium Black · Titanium Black Matte</t>
        </is>
      </c>
      <c r="G84" s="65" t="n">
        <v>7</v>
      </c>
    </row>
    <row r="85" ht="30" customHeight="1">
      <c r="A85" s="29" t="n">
        <v>81</v>
      </c>
      <c r="B85" s="59" t="inlineStr"/>
      <c r="C85" s="49" t="inlineStr"/>
      <c r="D85" s="32" t="inlineStr">
        <is>
          <t>Exter HX 4 Plus</t>
        </is>
      </c>
      <c r="E85" s="33" t="n">
        <v>7</v>
      </c>
      <c r="F85" s="34" t="inlineStr">
        <is>
          <t>Atlas White · Golden Bronze · Ranger Khaki · Starry Night · Titan Grey · Titanium Black · Titanium Black Matte</t>
        </is>
      </c>
      <c r="G85" s="17" t="n">
        <v>7</v>
      </c>
    </row>
    <row r="86" ht="30" customHeight="1">
      <c r="A86" s="60" t="n">
        <v>82</v>
      </c>
      <c r="B86" s="59" t="inlineStr"/>
      <c r="C86" s="61" t="inlineStr"/>
      <c r="D86" s="62" t="inlineStr">
        <is>
          <t>Exter HX 6</t>
        </is>
      </c>
      <c r="E86" s="63" t="n">
        <v>7</v>
      </c>
      <c r="F86" s="64" t="inlineStr">
        <is>
          <t>Atlas White · Golden Bronze · Ranger Khaki · Starry Night · Titan Grey · Titanium Black · Titanium Black Matte</t>
        </is>
      </c>
      <c r="G86" s="65" t="n">
        <v>7</v>
      </c>
    </row>
    <row r="87" ht="30" customHeight="1">
      <c r="A87" s="29" t="n">
        <v>83</v>
      </c>
      <c r="B87" s="59" t="inlineStr"/>
      <c r="C87" s="49" t="inlineStr"/>
      <c r="D87" s="32" t="inlineStr">
        <is>
          <t>Exter HX 8</t>
        </is>
      </c>
      <c r="E87" s="33" t="n">
        <v>7</v>
      </c>
      <c r="F87" s="34" t="inlineStr">
        <is>
          <t>Atlas White · Golden Bronze · Ranger Khaki · Starry Night · Titan Grey · Titanium Black · Titanium Black Matte</t>
        </is>
      </c>
      <c r="G87" s="17" t="n">
        <v>7</v>
      </c>
    </row>
    <row r="88" ht="30" customHeight="1">
      <c r="A88" s="60" t="n">
        <v>84</v>
      </c>
      <c r="B88" s="59" t="inlineStr"/>
      <c r="C88" s="66" t="inlineStr">
        <is>
          <t>Grand i10 Nios</t>
        </is>
      </c>
      <c r="D88" s="62" t="inlineStr">
        <is>
          <t>Grand i10 Nios Asta</t>
        </is>
      </c>
      <c r="E88" s="63" t="n">
        <v>5</v>
      </c>
      <c r="F88" s="64" t="inlineStr">
        <is>
          <t>Fiery Red · Spark Green · Teal Blue · Titan Grey · Typhoon Silver</t>
        </is>
      </c>
      <c r="G88" s="65" t="n">
        <v>5</v>
      </c>
    </row>
    <row r="89" ht="30" customHeight="1">
      <c r="A89" s="29" t="n">
        <v>85</v>
      </c>
      <c r="B89" s="59" t="inlineStr"/>
      <c r="C89" s="49" t="inlineStr"/>
      <c r="D89" s="32" t="inlineStr">
        <is>
          <t>Grand i10 Nios Corporate</t>
        </is>
      </c>
      <c r="E89" s="33" t="n">
        <v>6</v>
      </c>
      <c r="F89" s="34" t="inlineStr">
        <is>
          <t>Amazon Grey · Fiery Red · Spark Green · Teal Blue · Titan Grey · Typhoon Silver</t>
        </is>
      </c>
      <c r="G89" s="17" t="n">
        <v>6</v>
      </c>
    </row>
    <row r="90" ht="30" customHeight="1">
      <c r="A90" s="60" t="n">
        <v>86</v>
      </c>
      <c r="B90" s="59" t="inlineStr"/>
      <c r="C90" s="61" t="inlineStr"/>
      <c r="D90" s="62" t="inlineStr">
        <is>
          <t>Grand i10 Nios Era</t>
        </is>
      </c>
      <c r="E90" s="63" t="n">
        <v>1</v>
      </c>
      <c r="F90" s="64" t="inlineStr">
        <is>
          <t>Titan Grey</t>
        </is>
      </c>
      <c r="G90" s="65" t="n">
        <v>1</v>
      </c>
    </row>
    <row r="91" ht="30" customHeight="1">
      <c r="A91" s="29" t="n">
        <v>87</v>
      </c>
      <c r="B91" s="59" t="inlineStr"/>
      <c r="C91" s="49" t="inlineStr"/>
      <c r="D91" s="32" t="inlineStr">
        <is>
          <t>Grand i10 Nios Magna</t>
        </is>
      </c>
      <c r="E91" s="33" t="n">
        <v>5</v>
      </c>
      <c r="F91" s="34" t="inlineStr">
        <is>
          <t>Fiery Red · Spark Green · Teal Blue · Titan Grey · Typhoon Silver</t>
        </is>
      </c>
      <c r="G91" s="17" t="n">
        <v>5</v>
      </c>
    </row>
    <row r="92" ht="30" customHeight="1">
      <c r="A92" s="60" t="n">
        <v>88</v>
      </c>
      <c r="B92" s="59" t="inlineStr"/>
      <c r="C92" s="61" t="inlineStr"/>
      <c r="D92" s="62" t="inlineStr">
        <is>
          <t>Grand i10 Nios Sportz</t>
        </is>
      </c>
      <c r="E92" s="63" t="n">
        <v>5</v>
      </c>
      <c r="F92" s="64" t="inlineStr">
        <is>
          <t>Fiery Red · Spark Green · Teal Blue · Titan Grey · Typhoon Silver</t>
        </is>
      </c>
      <c r="G92" s="65" t="n">
        <v>5</v>
      </c>
    </row>
    <row r="93" ht="30" customHeight="1">
      <c r="A93" s="29" t="n">
        <v>89</v>
      </c>
      <c r="B93" s="59" t="inlineStr"/>
      <c r="C93" s="49" t="inlineStr"/>
      <c r="D93" s="32" t="inlineStr">
        <is>
          <t>Grand i10 Nios Sportz (O)</t>
        </is>
      </c>
      <c r="E93" s="33" t="n">
        <v>5</v>
      </c>
      <c r="F93" s="34" t="inlineStr">
        <is>
          <t>Fiery Red · Spark Green · Teal Blue · Titan Grey · Typhoon Silver</t>
        </is>
      </c>
      <c r="G93" s="17" t="n">
        <v>5</v>
      </c>
    </row>
    <row r="94" ht="30" customHeight="1">
      <c r="A94" s="60" t="n">
        <v>90</v>
      </c>
      <c r="B94" s="59" t="inlineStr"/>
      <c r="C94" s="66" t="inlineStr">
        <is>
          <t>Venue</t>
        </is>
      </c>
      <c r="D94" s="62" t="inlineStr">
        <is>
          <t>Venue HX 10</t>
        </is>
      </c>
      <c r="E94" s="63" t="n">
        <v>8</v>
      </c>
      <c r="F94" s="64" t="inlineStr">
        <is>
          <t>Atlas White · Dragon Red · Hazel Blue · Hazel Blue Matte · Mystic Sapphire · Mystic Sapphire Matte · Titan Grey · Titanium Black</t>
        </is>
      </c>
      <c r="G94" s="65" t="n">
        <v>8</v>
      </c>
    </row>
    <row r="95" ht="30" customHeight="1">
      <c r="A95" s="29" t="n">
        <v>91</v>
      </c>
      <c r="B95" s="59" t="inlineStr"/>
      <c r="C95" s="49" t="inlineStr"/>
      <c r="D95" s="32" t="inlineStr">
        <is>
          <t>Venue HX 2</t>
        </is>
      </c>
      <c r="E95" s="33" t="n">
        <v>6</v>
      </c>
      <c r="F95" s="34" t="inlineStr">
        <is>
          <t>Atlas White · Dragon Red · Hazel Blue · Mystic Sapphire · Titan Grey · Titanium Black</t>
        </is>
      </c>
      <c r="G95" s="17" t="n">
        <v>6</v>
      </c>
    </row>
    <row r="96" ht="30" customHeight="1">
      <c r="A96" s="60" t="n">
        <v>92</v>
      </c>
      <c r="B96" s="59" t="inlineStr"/>
      <c r="C96" s="61" t="inlineStr"/>
      <c r="D96" s="62" t="inlineStr">
        <is>
          <t>Venue HX 4</t>
        </is>
      </c>
      <c r="E96" s="63" t="n">
        <v>6</v>
      </c>
      <c r="F96" s="64" t="inlineStr">
        <is>
          <t>Atlas White · Dragon Red · Hazel Blue · Mystic Sapphire · Titan Grey · Titanium Black</t>
        </is>
      </c>
      <c r="G96" s="65" t="n">
        <v>6</v>
      </c>
    </row>
    <row r="97" ht="30" customHeight="1">
      <c r="A97" s="29" t="n">
        <v>93</v>
      </c>
      <c r="B97" s="59" t="inlineStr"/>
      <c r="C97" s="49" t="inlineStr"/>
      <c r="D97" s="32" t="inlineStr">
        <is>
          <t>Venue HX 5</t>
        </is>
      </c>
      <c r="E97" s="33" t="n">
        <v>6</v>
      </c>
      <c r="F97" s="34" t="inlineStr">
        <is>
          <t>Atlas White · Dragon Red · Hazel Blue · Mystic Sapphire · Titan Grey · Titanium Black</t>
        </is>
      </c>
      <c r="G97" s="17" t="n">
        <v>6</v>
      </c>
    </row>
    <row r="98" ht="30" customHeight="1">
      <c r="A98" s="60" t="n">
        <v>94</v>
      </c>
      <c r="B98" s="59" t="inlineStr"/>
      <c r="C98" s="61" t="inlineStr"/>
      <c r="D98" s="62" t="inlineStr">
        <is>
          <t>Venue HX 5 Plus</t>
        </is>
      </c>
      <c r="E98" s="63" t="n">
        <v>6</v>
      </c>
      <c r="F98" s="64" t="inlineStr">
        <is>
          <t>Atlas White · Dragon Red · Hazel Blue · Mystic Sapphire · Titan Grey · Titanium Black</t>
        </is>
      </c>
      <c r="G98" s="65" t="n">
        <v>6</v>
      </c>
    </row>
    <row r="99" ht="30" customHeight="1">
      <c r="A99" s="29" t="n">
        <v>95</v>
      </c>
      <c r="B99" s="59" t="inlineStr"/>
      <c r="C99" s="49" t="inlineStr"/>
      <c r="D99" s="32" t="inlineStr">
        <is>
          <t>Venue HX 6</t>
        </is>
      </c>
      <c r="E99" s="33" t="n">
        <v>6</v>
      </c>
      <c r="F99" s="34" t="inlineStr">
        <is>
          <t>Atlas White · Dragon Red · Hazel Blue · Mystic Sapphire · Titan Grey · Titanium Black</t>
        </is>
      </c>
      <c r="G99" s="17" t="n">
        <v>6</v>
      </c>
    </row>
    <row r="100" ht="30" customHeight="1">
      <c r="A100" s="60" t="n">
        <v>96</v>
      </c>
      <c r="B100" s="59" t="inlineStr"/>
      <c r="C100" s="61" t="inlineStr"/>
      <c r="D100" s="62" t="inlineStr">
        <is>
          <t>Venue HX 6T</t>
        </is>
      </c>
      <c r="E100" s="63" t="n">
        <v>8</v>
      </c>
      <c r="F100" s="64" t="inlineStr">
        <is>
          <t>Atlas White · Dragon Red · Hazel Blue · Hazel Blue Matte · Mystic Sapphire · Mystic Sapphire Matte · Titan Grey · Titanium Black</t>
        </is>
      </c>
      <c r="G100" s="65" t="n">
        <v>8</v>
      </c>
    </row>
    <row r="101" ht="30" customHeight="1">
      <c r="A101" s="29" t="n">
        <v>97</v>
      </c>
      <c r="B101" s="59" t="inlineStr"/>
      <c r="C101" s="49" t="inlineStr"/>
      <c r="D101" s="32" t="inlineStr">
        <is>
          <t>Venue HX 7</t>
        </is>
      </c>
      <c r="E101" s="33" t="n">
        <v>8</v>
      </c>
      <c r="F101" s="34" t="inlineStr">
        <is>
          <t>Atlas White · Dragon Red · Hazel Blue · Hazel Blue Matte · Mystic Sapphire · Mystic Sapphire Matte · Titan Grey · Titanium Black</t>
        </is>
      </c>
      <c r="G101" s="17" t="n">
        <v>8</v>
      </c>
    </row>
    <row r="102" ht="30" customHeight="1">
      <c r="A102" s="60" t="n">
        <v>98</v>
      </c>
      <c r="B102" s="59" t="inlineStr"/>
      <c r="C102" s="61" t="inlineStr"/>
      <c r="D102" s="62" t="inlineStr">
        <is>
          <t>Venue HX 8</t>
        </is>
      </c>
      <c r="E102" s="63" t="n">
        <v>6</v>
      </c>
      <c r="F102" s="64" t="inlineStr">
        <is>
          <t>Atlas White · Dragon Red · Hazel Blue · Mystic Sapphire · Titan Grey · Titanium Black</t>
        </is>
      </c>
      <c r="G102" s="65" t="n">
        <v>6</v>
      </c>
    </row>
    <row r="103" ht="30" customHeight="1">
      <c r="A103" s="29" t="n">
        <v>99</v>
      </c>
      <c r="B103" s="59" t="inlineStr"/>
      <c r="C103" s="31" t="inlineStr">
        <is>
          <t>Verna</t>
        </is>
      </c>
      <c r="D103" s="32" t="inlineStr">
        <is>
          <t>Verna HX 10</t>
        </is>
      </c>
      <c r="E103" s="33" t="n">
        <v>1</v>
      </c>
      <c r="F103" s="34" t="inlineStr">
        <is>
          <t>Titan Grey Matte</t>
        </is>
      </c>
      <c r="G103" s="17" t="n">
        <v>1</v>
      </c>
    </row>
    <row r="104" ht="30" customHeight="1">
      <c r="A104" s="60" t="n">
        <v>100</v>
      </c>
      <c r="B104" s="59" t="inlineStr"/>
      <c r="C104" s="61" t="inlineStr"/>
      <c r="D104" s="62" t="inlineStr">
        <is>
          <t>Verna HX 2</t>
        </is>
      </c>
      <c r="E104" s="63" t="n">
        <v>6</v>
      </c>
      <c r="F104" s="64" t="inlineStr">
        <is>
          <t>Atlas White · Classy Blue · Starry Night · Titan Grey · Titan Grey Matte · Titanium Black</t>
        </is>
      </c>
      <c r="G104" s="65" t="n">
        <v>6</v>
      </c>
    </row>
    <row r="105" ht="30" customHeight="1">
      <c r="A105" s="29" t="n">
        <v>101</v>
      </c>
      <c r="B105" s="59" t="inlineStr"/>
      <c r="C105" s="49" t="inlineStr"/>
      <c r="D105" s="32" t="inlineStr">
        <is>
          <t>Verna HX 4</t>
        </is>
      </c>
      <c r="E105" s="33" t="n">
        <v>1</v>
      </c>
      <c r="F105" s="34" t="inlineStr">
        <is>
          <t>Titan Grey Matte</t>
        </is>
      </c>
      <c r="G105" s="17" t="n">
        <v>1</v>
      </c>
    </row>
    <row r="106" ht="30" customHeight="1">
      <c r="A106" s="60" t="n">
        <v>102</v>
      </c>
      <c r="B106" s="59" t="inlineStr"/>
      <c r="C106" s="61" t="inlineStr"/>
      <c r="D106" s="62" t="inlineStr">
        <is>
          <t>Verna HX 6</t>
        </is>
      </c>
      <c r="E106" s="63" t="n">
        <v>1</v>
      </c>
      <c r="F106" s="64" t="inlineStr">
        <is>
          <t>Titan Grey Matte</t>
        </is>
      </c>
      <c r="G106" s="65" t="n">
        <v>1</v>
      </c>
    </row>
    <row r="107" ht="30" customHeight="1">
      <c r="A107" s="29" t="n">
        <v>103</v>
      </c>
      <c r="B107" s="59" t="inlineStr"/>
      <c r="C107" s="49" t="inlineStr"/>
      <c r="D107" s="32" t="inlineStr">
        <is>
          <t>Verna HX 6 Plus</t>
        </is>
      </c>
      <c r="E107" s="33" t="n">
        <v>1</v>
      </c>
      <c r="F107" s="34" t="inlineStr">
        <is>
          <t>Titan Grey Matte</t>
        </is>
      </c>
      <c r="G107" s="17" t="n">
        <v>1</v>
      </c>
    </row>
    <row r="108" ht="30" customHeight="1">
      <c r="A108" s="60" t="n">
        <v>104</v>
      </c>
      <c r="B108" s="59" t="inlineStr"/>
      <c r="C108" s="61" t="inlineStr"/>
      <c r="D108" s="62" t="inlineStr">
        <is>
          <t>Verna HX 8</t>
        </is>
      </c>
      <c r="E108" s="63" t="n">
        <v>1</v>
      </c>
      <c r="F108" s="64" t="inlineStr">
        <is>
          <t>Titan Grey Matte</t>
        </is>
      </c>
      <c r="G108" s="65" t="n">
        <v>1</v>
      </c>
    </row>
    <row r="109" ht="30" customHeight="1">
      <c r="A109" s="29" t="n">
        <v>105</v>
      </c>
      <c r="B109" s="59" t="inlineStr"/>
      <c r="C109" s="31" t="inlineStr">
        <is>
          <t>i20</t>
        </is>
      </c>
      <c r="D109" s="32" t="inlineStr">
        <is>
          <t>i20 Asta</t>
        </is>
      </c>
      <c r="E109" s="33" t="n">
        <v>6</v>
      </c>
      <c r="F109" s="34" t="inlineStr">
        <is>
          <t>Amazon Grey · Atlas White · Fiery Red · Starry Night · Titan Grey · Typhoon Silver</t>
        </is>
      </c>
      <c r="G109" s="17" t="n">
        <v>6</v>
      </c>
    </row>
    <row r="110" ht="30" customHeight="1">
      <c r="A110" s="60" t="n">
        <v>106</v>
      </c>
      <c r="B110" s="59" t="inlineStr"/>
      <c r="C110" s="61" t="inlineStr"/>
      <c r="D110" s="62" t="inlineStr">
        <is>
          <t>i20 Asta (O)</t>
        </is>
      </c>
      <c r="E110" s="63" t="n">
        <v>6</v>
      </c>
      <c r="F110" s="64" t="inlineStr">
        <is>
          <t>Amazon Grey · Atlas White · Fiery Red · Starry Night · Titan Grey · Typhoon Silver</t>
        </is>
      </c>
      <c r="G110" s="65" t="n">
        <v>6</v>
      </c>
    </row>
    <row r="111" ht="30" customHeight="1">
      <c r="A111" s="29" t="n">
        <v>107</v>
      </c>
      <c r="B111" s="59" t="inlineStr"/>
      <c r="C111" s="49" t="inlineStr"/>
      <c r="D111" s="32" t="inlineStr">
        <is>
          <t>i20 Asta (O) Knight Edition</t>
        </is>
      </c>
      <c r="E111" s="33" t="n">
        <v>1</v>
      </c>
      <c r="F111" s="34" t="inlineStr">
        <is>
          <t>Abyss Black</t>
        </is>
      </c>
      <c r="G111" s="17" t="n">
        <v>1</v>
      </c>
    </row>
    <row r="112" ht="30" customHeight="1">
      <c r="A112" s="60" t="n">
        <v>108</v>
      </c>
      <c r="B112" s="59" t="inlineStr"/>
      <c r="C112" s="61" t="inlineStr"/>
      <c r="D112" s="62" t="inlineStr">
        <is>
          <t>i20 Era</t>
        </is>
      </c>
      <c r="E112" s="63" t="n">
        <v>6</v>
      </c>
      <c r="F112" s="64" t="inlineStr">
        <is>
          <t>Amazon Grey · Atlas White · Fiery Red · Starry Night · Titan Grey · Typhoon Silver</t>
        </is>
      </c>
      <c r="G112" s="65" t="n">
        <v>6</v>
      </c>
    </row>
    <row r="113" ht="30" customHeight="1">
      <c r="A113" s="29" t="n">
        <v>109</v>
      </c>
      <c r="B113" s="59" t="inlineStr"/>
      <c r="C113" s="49" t="inlineStr"/>
      <c r="D113" s="32" t="inlineStr">
        <is>
          <t>i20 Magna</t>
        </is>
      </c>
      <c r="E113" s="33" t="n">
        <v>6</v>
      </c>
      <c r="F113" s="34" t="inlineStr">
        <is>
          <t>Amazon Grey · Atlas White · Fiery Red · Starry Night · Titan Grey · Typhoon Silver</t>
        </is>
      </c>
      <c r="G113" s="17" t="n">
        <v>6</v>
      </c>
    </row>
    <row r="114" ht="30" customHeight="1">
      <c r="A114" s="60" t="n">
        <v>110</v>
      </c>
      <c r="B114" s="59" t="inlineStr"/>
      <c r="C114" s="61" t="inlineStr"/>
      <c r="D114" s="62" t="inlineStr">
        <is>
          <t>i20 Magna Executive</t>
        </is>
      </c>
      <c r="E114" s="63" t="n">
        <v>6</v>
      </c>
      <c r="F114" s="64" t="inlineStr">
        <is>
          <t>Amazon Grey · Atlas White · Fiery Red · Starry Night · Titan Grey · Typhoon Silver</t>
        </is>
      </c>
      <c r="G114" s="65" t="n">
        <v>6</v>
      </c>
    </row>
    <row r="115" ht="30" customHeight="1">
      <c r="A115" s="29" t="n">
        <v>111</v>
      </c>
      <c r="B115" s="59" t="inlineStr"/>
      <c r="C115" s="49" t="inlineStr"/>
      <c r="D115" s="32" t="inlineStr">
        <is>
          <t>i20 Sportz</t>
        </is>
      </c>
      <c r="E115" s="33" t="n">
        <v>6</v>
      </c>
      <c r="F115" s="34" t="inlineStr">
        <is>
          <t>Amazon Grey · Atlas White · Fiery Red · Starry Night · Titan Grey · Typhoon Silver</t>
        </is>
      </c>
      <c r="G115" s="17" t="n">
        <v>6</v>
      </c>
    </row>
    <row r="116" ht="30" customHeight="1">
      <c r="A116" s="60" t="n">
        <v>112</v>
      </c>
      <c r="B116" s="59" t="inlineStr"/>
      <c r="C116" s="61" t="inlineStr"/>
      <c r="D116" s="62" t="inlineStr">
        <is>
          <t>i20 Sportz (O)</t>
        </is>
      </c>
      <c r="E116" s="63" t="n">
        <v>6</v>
      </c>
      <c r="F116" s="64" t="inlineStr">
        <is>
          <t>Amazon Grey · Atlas White · Fiery Red · Starry Night · Titan Grey · Typhoon Silver</t>
        </is>
      </c>
      <c r="G116" s="65" t="n">
        <v>6</v>
      </c>
    </row>
    <row r="117" ht="30" customHeight="1">
      <c r="A117" s="29" t="n">
        <v>113</v>
      </c>
      <c r="B117" s="59" t="inlineStr"/>
      <c r="C117" s="49" t="inlineStr"/>
      <c r="D117" s="32" t="inlineStr">
        <is>
          <t>i20 Sportz (O) Knight Edition</t>
        </is>
      </c>
      <c r="E117" s="33" t="n">
        <v>1</v>
      </c>
      <c r="F117" s="34" t="inlineStr">
        <is>
          <t>Abyss Black</t>
        </is>
      </c>
      <c r="G117" s="17" t="n">
        <v>1</v>
      </c>
    </row>
    <row r="118" ht="30" customHeight="1">
      <c r="A118" s="67" t="n">
        <v>114</v>
      </c>
      <c r="B118" s="68" t="inlineStr">
        <is>
          <t>Isuzu</t>
        </is>
      </c>
      <c r="C118" s="69" t="inlineStr">
        <is>
          <t>D-Max</t>
        </is>
      </c>
      <c r="D118" s="70" t="inlineStr">
        <is>
          <t>D-Max Flat Deck HR</t>
        </is>
      </c>
      <c r="E118" s="71" t="n">
        <v>8</v>
      </c>
      <c r="F118" s="72" t="inlineStr">
        <is>
          <t>Black Mica · Galena Grey · Nautilus Blue · Red Spinal Mica · Silky White Pearl · Silver Metallic · Splash White · Valencia Orange</t>
        </is>
      </c>
      <c r="G118" s="73" t="n">
        <v>8</v>
      </c>
    </row>
    <row r="119" ht="30" customHeight="1">
      <c r="A119" s="29" t="n">
        <v>115</v>
      </c>
      <c r="B119" s="68" t="inlineStr"/>
      <c r="C119" s="31" t="inlineStr">
        <is>
          <t>Hi-Lander</t>
        </is>
      </c>
      <c r="D119" s="32" t="inlineStr">
        <is>
          <t>Hi-Lander [2021]</t>
        </is>
      </c>
      <c r="E119" s="33" t="n">
        <v>1</v>
      </c>
      <c r="F119" s="34" t="inlineStr">
        <is>
          <t>Hi-Lander [2021]</t>
        </is>
      </c>
      <c r="G119" s="17" t="n">
        <v>1</v>
      </c>
    </row>
    <row r="120" ht="30" customHeight="1">
      <c r="A120" s="67" t="n">
        <v>116</v>
      </c>
      <c r="B120" s="68" t="inlineStr"/>
      <c r="C120" s="69" t="inlineStr">
        <is>
          <t>MU-X</t>
        </is>
      </c>
      <c r="D120" s="70" t="inlineStr">
        <is>
          <t>Isuzu MU-X 4x2 AT</t>
        </is>
      </c>
      <c r="E120" s="71" t="n">
        <v>6</v>
      </c>
      <c r="F120" s="72" t="inlineStr">
        <is>
          <t>Black Mica · Galena Grey · Nautilus Blue · Red Spinal Mica · Silky White Pearl · Silver Metallic</t>
        </is>
      </c>
      <c r="G120" s="73" t="n">
        <v>6</v>
      </c>
    </row>
    <row r="121" ht="30" customHeight="1">
      <c r="A121" s="29" t="n">
        <v>117</v>
      </c>
      <c r="B121" s="68" t="inlineStr"/>
      <c r="C121" s="49" t="inlineStr"/>
      <c r="D121" s="32" t="inlineStr">
        <is>
          <t>MU-X 4x4 AT</t>
        </is>
      </c>
      <c r="E121" s="33" t="n">
        <v>6</v>
      </c>
      <c r="F121" s="34" t="inlineStr">
        <is>
          <t>Black Mica · Galena Grey · Nautilus Blue · Red Spinal Mica · Silky White Pearl · Silver Metallic</t>
        </is>
      </c>
      <c r="G121" s="17" t="n">
        <v>6</v>
      </c>
    </row>
    <row r="122" ht="30" customHeight="1">
      <c r="A122" s="67" t="n">
        <v>118</v>
      </c>
      <c r="B122" s="68" t="inlineStr"/>
      <c r="C122" s="69" t="inlineStr">
        <is>
          <t>V-Cross</t>
        </is>
      </c>
      <c r="D122" s="70" t="inlineStr">
        <is>
          <t>V-Cross Z  4WD Diesel Turbo  Manual</t>
        </is>
      </c>
      <c r="E122" s="71" t="n">
        <v>7</v>
      </c>
      <c r="F122" s="72" t="inlineStr">
        <is>
          <t>Black Mica · Galena Grey · Nautilus Blue · Red Spinel Mica · Silky White Pearl · Silver Metallic · Splash White</t>
        </is>
      </c>
      <c r="G122" s="73" t="n">
        <v>7</v>
      </c>
    </row>
    <row r="123" ht="30" customHeight="1">
      <c r="A123" s="29" t="n">
        <v>119</v>
      </c>
      <c r="B123" s="68" t="inlineStr"/>
      <c r="C123" s="49" t="inlineStr"/>
      <c r="D123" s="32" t="inlineStr">
        <is>
          <t>V-Cross Z Prestige  4WD Diesel Turbo  Automatic</t>
        </is>
      </c>
      <c r="E123" s="33" t="n">
        <v>7</v>
      </c>
      <c r="F123" s="34" t="inlineStr">
        <is>
          <t>Black Mica · Galena Grey · Nautilus Blue · Red Spinel Mica · Silky White Pearl · Silver Metallic · Splash White</t>
        </is>
      </c>
      <c r="G123" s="17" t="n">
        <v>7</v>
      </c>
    </row>
    <row r="124" ht="30" customHeight="1">
      <c r="A124" s="67" t="n">
        <v>120</v>
      </c>
      <c r="B124" s="68" t="inlineStr"/>
      <c r="C124" s="74" t="inlineStr"/>
      <c r="D124" s="70" t="inlineStr">
        <is>
          <t>V-Cross Z Prestige  4WD Diesel Turbo  Manual</t>
        </is>
      </c>
      <c r="E124" s="71" t="n">
        <v>7</v>
      </c>
      <c r="F124" s="72" t="inlineStr">
        <is>
          <t>Black Mica · Galena Grey · Nautilus Blue · Red Spinel Mica · Silky White Pearl · Silver Metallic · Splash White</t>
        </is>
      </c>
      <c r="G124" s="73" t="n">
        <v>7</v>
      </c>
    </row>
    <row r="125" ht="30" customHeight="1">
      <c r="A125" s="29" t="n">
        <v>121</v>
      </c>
      <c r="B125" s="75" t="inlineStr">
        <is>
          <t>Jeep</t>
        </is>
      </c>
      <c r="C125" s="31" t="inlineStr">
        <is>
          <t>Compass</t>
        </is>
      </c>
      <c r="D125" s="32" t="inlineStr">
        <is>
          <t>Compass Limited (O)</t>
        </is>
      </c>
      <c r="E125" s="33" t="n">
        <v>6</v>
      </c>
      <c r="F125" s="34" t="inlineStr">
        <is>
          <t>Brilliant Black · Galaxy Blue · Grigio Magnesio grey · Pearl White · Silvery Moon · Techno Metallic Green</t>
        </is>
      </c>
      <c r="G125" s="17" t="n">
        <v>6</v>
      </c>
    </row>
    <row r="126" ht="30" customHeight="1">
      <c r="A126" s="76" t="n">
        <v>122</v>
      </c>
      <c r="B126" s="75" t="inlineStr"/>
      <c r="C126" s="77" t="inlineStr"/>
      <c r="D126" s="78" t="inlineStr">
        <is>
          <t>Compass Longitude</t>
        </is>
      </c>
      <c r="E126" s="79" t="n">
        <v>6</v>
      </c>
      <c r="F126" s="80" t="inlineStr">
        <is>
          <t>Brilliant Black · Galaxy Blue · Grigio Magnesio grey · Pearl White · Silvery Moon · Techno Metallic Green</t>
        </is>
      </c>
      <c r="G126" s="81" t="n">
        <v>6</v>
      </c>
    </row>
    <row r="127" ht="30" customHeight="1">
      <c r="A127" s="29" t="n">
        <v>123</v>
      </c>
      <c r="B127" s="75" t="inlineStr"/>
      <c r="C127" s="49" t="inlineStr"/>
      <c r="D127" s="32" t="inlineStr">
        <is>
          <t>Compass Longitude (O)</t>
        </is>
      </c>
      <c r="E127" s="33" t="n">
        <v>6</v>
      </c>
      <c r="F127" s="34" t="inlineStr">
        <is>
          <t>Brilliant Black · Galaxy Blue · Grigio Magnesio grey · Pearl White · Silvery Moon · Techno Metallic Green</t>
        </is>
      </c>
      <c r="G127" s="17" t="n">
        <v>6</v>
      </c>
    </row>
    <row r="128" ht="30" customHeight="1">
      <c r="A128" s="76" t="n">
        <v>124</v>
      </c>
      <c r="B128" s="75" t="inlineStr"/>
      <c r="C128" s="77" t="inlineStr"/>
      <c r="D128" s="78" t="inlineStr">
        <is>
          <t>Compass Model S (O)</t>
        </is>
      </c>
      <c r="E128" s="79" t="n">
        <v>7</v>
      </c>
      <c r="F128" s="80" t="inlineStr">
        <is>
          <t>Brilliant Black · Exotica Red · Galaxy Blue · Grigio Magnesio grey · Pearl White · Silvery Moon · Techno Metallic Green</t>
        </is>
      </c>
      <c r="G128" s="81" t="n">
        <v>7</v>
      </c>
    </row>
    <row r="129" ht="30" customHeight="1">
      <c r="A129" s="29" t="n">
        <v>125</v>
      </c>
      <c r="B129" s="75" t="inlineStr"/>
      <c r="C129" s="49" t="inlineStr"/>
      <c r="D129" s="32" t="inlineStr">
        <is>
          <t>Compass Sport</t>
        </is>
      </c>
      <c r="E129" s="33" t="n">
        <v>7</v>
      </c>
      <c r="F129" s="34" t="inlineStr">
        <is>
          <t>Brilliant Black · Exotica Red · Galaxy Blue · Grigio Magnesio grey · Pearl White · Silvery Moon · Techno Metallic Green</t>
        </is>
      </c>
      <c r="G129" s="17" t="n">
        <v>7</v>
      </c>
    </row>
    <row r="130" ht="30" customHeight="1">
      <c r="A130" s="76" t="n">
        <v>126</v>
      </c>
      <c r="B130" s="75" t="inlineStr"/>
      <c r="C130" s="77" t="inlineStr"/>
      <c r="D130" s="78" t="inlineStr">
        <is>
          <t>Compass Track Edition</t>
        </is>
      </c>
      <c r="E130" s="79" t="n">
        <v>6</v>
      </c>
      <c r="F130" s="80" t="inlineStr">
        <is>
          <t>Brilliant Black · Galaxy Blue · Grigio Magnesio grey · Pearl White · Silvery Moon · Techno Metallic Green</t>
        </is>
      </c>
      <c r="G130" s="81" t="n">
        <v>6</v>
      </c>
    </row>
    <row r="131" ht="30" customHeight="1">
      <c r="A131" s="29" t="n">
        <v>127</v>
      </c>
      <c r="B131" s="75" t="inlineStr"/>
      <c r="C131" s="49" t="inlineStr"/>
      <c r="D131" s="32" t="inlineStr">
        <is>
          <t>Compass Trail Edition</t>
        </is>
      </c>
      <c r="E131" s="33" t="n">
        <v>6</v>
      </c>
      <c r="F131" s="34" t="inlineStr">
        <is>
          <t>Brilliant Black · Galaxy Blue · Grigio Magnesio grey · Pearl White · Silvery Moon · Techno Metallic Green</t>
        </is>
      </c>
      <c r="G131" s="17" t="n">
        <v>6</v>
      </c>
    </row>
    <row r="132" ht="30" customHeight="1">
      <c r="A132" s="76" t="n">
        <v>128</v>
      </c>
      <c r="B132" s="75" t="inlineStr"/>
      <c r="C132" s="82" t="inlineStr">
        <is>
          <t>Grand Cherokee</t>
        </is>
      </c>
      <c r="D132" s="78" t="inlineStr">
        <is>
          <t>Grand Cherokee Limited (O)</t>
        </is>
      </c>
      <c r="E132" s="79" t="n">
        <v>4</v>
      </c>
      <c r="F132" s="80" t="inlineStr">
        <is>
          <t>Bright White · Diamond Black Crystal · Rocky Mountain · Velvet Red</t>
        </is>
      </c>
      <c r="G132" s="81" t="n">
        <v>4</v>
      </c>
    </row>
    <row r="133" ht="30" customHeight="1">
      <c r="A133" s="29" t="n">
        <v>129</v>
      </c>
      <c r="B133" s="75" t="inlineStr"/>
      <c r="C133" s="49" t="inlineStr"/>
      <c r="D133" s="32" t="inlineStr">
        <is>
          <t>Grand Cherokee Signature Edition</t>
        </is>
      </c>
      <c r="E133" s="33" t="n">
        <v>4</v>
      </c>
      <c r="F133" s="34" t="inlineStr">
        <is>
          <t>Bright White · Diamond Black Crystal · Rocky Mountain · Velvet Red</t>
        </is>
      </c>
      <c r="G133" s="17" t="n">
        <v>4</v>
      </c>
    </row>
    <row r="134" ht="30" customHeight="1">
      <c r="A134" s="76" t="n">
        <v>130</v>
      </c>
      <c r="B134" s="75" t="inlineStr"/>
      <c r="C134" s="82" t="inlineStr">
        <is>
          <t>Meridian</t>
        </is>
      </c>
      <c r="D134" s="78" t="inlineStr">
        <is>
          <t>Meridian Limited (O)</t>
        </is>
      </c>
      <c r="E134" s="79" t="n">
        <v>7</v>
      </c>
      <c r="F134" s="80" t="inlineStr">
        <is>
          <t>Brilliant Black · Galaxy Blue · Magnesio Grey · Pearl White · Silvery Moon · Techno Metallic Green · Velvet Red</t>
        </is>
      </c>
      <c r="G134" s="81" t="n">
        <v>7</v>
      </c>
    </row>
    <row r="135" ht="30" customHeight="1">
      <c r="A135" s="29" t="n">
        <v>131</v>
      </c>
      <c r="B135" s="75" t="inlineStr"/>
      <c r="C135" s="49" t="inlineStr"/>
      <c r="D135" s="32" t="inlineStr">
        <is>
          <t>Meridian Longitude</t>
        </is>
      </c>
      <c r="E135" s="33" t="n">
        <v>8</v>
      </c>
      <c r="F135" s="34" t="inlineStr">
        <is>
          <t>Brilliant Black · Galaxy Blue · Magnesio Grey · Minimal Grey · Pearl White · Silvery Moon · Techno Metallic Green · Velvet Red</t>
        </is>
      </c>
      <c r="G135" s="17" t="n">
        <v>8</v>
      </c>
    </row>
    <row r="136" ht="30" customHeight="1">
      <c r="A136" s="76" t="n">
        <v>132</v>
      </c>
      <c r="B136" s="75" t="inlineStr"/>
      <c r="C136" s="77" t="inlineStr"/>
      <c r="D136" s="78" t="inlineStr">
        <is>
          <t>Meridian Longitude Plus</t>
        </is>
      </c>
      <c r="E136" s="79" t="n">
        <v>7</v>
      </c>
      <c r="F136" s="80" t="inlineStr">
        <is>
          <t>Brilliant Black · Galaxy Blue · Magnesio Grey · Pearl White · Silvery Moon · Techno Metallic Green · Velvet Red</t>
        </is>
      </c>
      <c r="G136" s="81" t="n">
        <v>7</v>
      </c>
    </row>
    <row r="137" ht="30" customHeight="1">
      <c r="A137" s="29" t="n">
        <v>133</v>
      </c>
      <c r="B137" s="75" t="inlineStr"/>
      <c r="C137" s="49" t="inlineStr"/>
      <c r="D137" s="32" t="inlineStr">
        <is>
          <t>Meridian Overland</t>
        </is>
      </c>
      <c r="E137" s="33" t="n">
        <v>7</v>
      </c>
      <c r="F137" s="34" t="inlineStr">
        <is>
          <t>Brilliant Black · Galaxy Blue · Magnesio Grey · Pearl White · Silvery Moon · Techno Metallic Green · Velvet Red</t>
        </is>
      </c>
      <c r="G137" s="17" t="n">
        <v>7</v>
      </c>
    </row>
    <row r="138" ht="30" customHeight="1">
      <c r="A138" s="76" t="n">
        <v>134</v>
      </c>
      <c r="B138" s="75" t="inlineStr"/>
      <c r="C138" s="77" t="inlineStr"/>
      <c r="D138" s="78" t="inlineStr">
        <is>
          <t>Meridian Track Edition</t>
        </is>
      </c>
      <c r="E138" s="79" t="n">
        <v>4</v>
      </c>
      <c r="F138" s="80" t="inlineStr">
        <is>
          <t>Magnesio Grey · Pearl White · Techno Metallic Green · Velvet Red</t>
        </is>
      </c>
      <c r="G138" s="81" t="n">
        <v>4</v>
      </c>
    </row>
    <row r="139" ht="30" customHeight="1">
      <c r="A139" s="29" t="n">
        <v>135</v>
      </c>
      <c r="B139" s="75" t="inlineStr"/>
      <c r="C139" s="49" t="inlineStr"/>
      <c r="D139" s="32" t="inlineStr">
        <is>
          <t>Meridian Trail Edition</t>
        </is>
      </c>
      <c r="E139" s="33" t="n">
        <v>4</v>
      </c>
      <c r="F139" s="34" t="inlineStr">
        <is>
          <t>Brilliant Black · Magnesio Grey · Pearl White · Techno Metallic Green</t>
        </is>
      </c>
      <c r="G139" s="17" t="n">
        <v>4</v>
      </c>
    </row>
    <row r="140" ht="30" customHeight="1">
      <c r="A140" s="76" t="n">
        <v>136</v>
      </c>
      <c r="B140" s="75" t="inlineStr"/>
      <c r="C140" s="82" t="inlineStr">
        <is>
          <t>Wrangler</t>
        </is>
      </c>
      <c r="D140" s="78" t="inlineStr">
        <is>
          <t>Wrangler Rubicon</t>
        </is>
      </c>
      <c r="E140" s="79" t="n">
        <v>5</v>
      </c>
      <c r="F140" s="80" t="inlineStr">
        <is>
          <t>Anvil Clear Coat · Black · Bright White · Firecracker Red · Sarge Green</t>
        </is>
      </c>
      <c r="G140" s="81" t="n">
        <v>5</v>
      </c>
    </row>
    <row r="141" ht="30" customHeight="1">
      <c r="A141" s="29" t="n">
        <v>137</v>
      </c>
      <c r="B141" s="75" t="inlineStr"/>
      <c r="C141" s="49" t="inlineStr"/>
      <c r="D141" s="32" t="inlineStr">
        <is>
          <t>Wrangler Unlimited</t>
        </is>
      </c>
      <c r="E141" s="33" t="n">
        <v>4</v>
      </c>
      <c r="F141" s="34" t="inlineStr">
        <is>
          <t>Anvil Clear Coat · Black · Bright White · Firecracker Red</t>
        </is>
      </c>
      <c r="G141" s="17" t="n">
        <v>4</v>
      </c>
    </row>
    <row r="142" ht="30" customHeight="1">
      <c r="A142" s="76" t="n">
        <v>138</v>
      </c>
      <c r="B142" s="75" t="inlineStr"/>
      <c r="C142" s="77" t="inlineStr"/>
      <c r="D142" s="78" t="inlineStr">
        <is>
          <t>Wrangler Willys 41 Special Edition</t>
        </is>
      </c>
      <c r="E142" s="79" t="n">
        <v>6</v>
      </c>
      <c r="F142" s="80" t="inlineStr">
        <is>
          <t>Anvil Clear Coat · Billet · Black · Bright White · Firecracker Red · Sarge Green</t>
        </is>
      </c>
      <c r="G142" s="81" t="n">
        <v>6</v>
      </c>
    </row>
    <row r="143" ht="30" customHeight="1">
      <c r="A143" s="29" t="n">
        <v>139</v>
      </c>
      <c r="B143" s="83" t="inlineStr">
        <is>
          <t>Kia</t>
        </is>
      </c>
      <c r="C143" s="31" t="inlineStr">
        <is>
          <t>Carens</t>
        </is>
      </c>
      <c r="D143" s="32" t="inlineStr">
        <is>
          <t>Carens Premium (O)</t>
        </is>
      </c>
      <c r="E143" s="33" t="n">
        <v>6</v>
      </c>
      <c r="F143" s="34" t="inlineStr">
        <is>
          <t>Aurora Black Pearl · Clear White · Gravity Grey · Imperial Blue · Pewter Olive · Sparkling Silver</t>
        </is>
      </c>
      <c r="G143" s="17" t="n">
        <v>6</v>
      </c>
    </row>
    <row r="144" ht="30" customHeight="1">
      <c r="A144" s="84" t="n">
        <v>140</v>
      </c>
      <c r="B144" s="83" t="inlineStr"/>
      <c r="C144" s="85" t="inlineStr">
        <is>
          <t>Carnival</t>
        </is>
      </c>
      <c r="D144" s="86" t="inlineStr">
        <is>
          <t>Carnival Limousine Plus</t>
        </is>
      </c>
      <c r="E144" s="87" t="n">
        <v>2</v>
      </c>
      <c r="F144" s="88" t="inlineStr">
        <is>
          <t>Fusion Black · Glacier White Pearl</t>
        </is>
      </c>
      <c r="G144" s="89" t="n">
        <v>2</v>
      </c>
    </row>
    <row r="145" ht="30" customHeight="1">
      <c r="A145" s="29" t="n">
        <v>141</v>
      </c>
      <c r="B145" s="83" t="inlineStr"/>
      <c r="C145" s="31" t="inlineStr">
        <is>
          <t>EV6</t>
        </is>
      </c>
      <c r="D145" s="32" t="inlineStr">
        <is>
          <t>EV6 GT Line</t>
        </is>
      </c>
      <c r="E145" s="33" t="n">
        <v>5</v>
      </c>
      <c r="F145" s="34" t="inlineStr">
        <is>
          <t>Aurora Black Pearl · Runway Red · Snow White Pearl · Wolf Grey · Yatch Blue</t>
        </is>
      </c>
      <c r="G145" s="17" t="n">
        <v>5</v>
      </c>
    </row>
    <row r="146" ht="30" customHeight="1">
      <c r="A146" s="84" t="n">
        <v>142</v>
      </c>
      <c r="B146" s="83" t="inlineStr"/>
      <c r="C146" s="85" t="inlineStr">
        <is>
          <t>EV9</t>
        </is>
      </c>
      <c r="D146" s="86" t="inlineStr">
        <is>
          <t>Standard</t>
        </is>
      </c>
      <c r="E146" s="87" t="n">
        <v>5</v>
      </c>
      <c r="F146" s="88" t="inlineStr">
        <is>
          <t>Aurora Black Pearl · Ocean Blue · Panthera Metal · Pebble Grey · Snow White Pearl</t>
        </is>
      </c>
      <c r="G146" s="89" t="n">
        <v>5</v>
      </c>
    </row>
    <row r="147" ht="30" customHeight="1">
      <c r="A147" s="29" t="n">
        <v>143</v>
      </c>
      <c r="B147" s="83" t="inlineStr"/>
      <c r="C147" s="31" t="inlineStr">
        <is>
          <t>Seltos</t>
        </is>
      </c>
      <c r="D147" s="32" t="inlineStr">
        <is>
          <t>Seltos GTX</t>
        </is>
      </c>
      <c r="E147" s="33" t="n">
        <v>9</v>
      </c>
      <c r="F147" s="34" t="inlineStr">
        <is>
          <t>Aurora Black Pearl · Frost Blue · Glacier White Pearl · Gravity Grey · Imperial Blue · Ivory Silver Gloss · Magma Red · Morning Haze · Pewter Olive</t>
        </is>
      </c>
      <c r="G147" s="17" t="n">
        <v>9</v>
      </c>
    </row>
    <row r="148" ht="30" customHeight="1">
      <c r="A148" s="84" t="n">
        <v>144</v>
      </c>
      <c r="B148" s="83" t="inlineStr"/>
      <c r="C148" s="90" t="inlineStr"/>
      <c r="D148" s="86" t="inlineStr">
        <is>
          <t>Seltos GTX (A)</t>
        </is>
      </c>
      <c r="E148" s="87" t="n">
        <v>2</v>
      </c>
      <c r="F148" s="88" t="inlineStr">
        <is>
          <t>Aurora Black Pearl · Gravity Grey</t>
        </is>
      </c>
      <c r="G148" s="89" t="n">
        <v>2</v>
      </c>
    </row>
    <row r="149" ht="30" customHeight="1">
      <c r="A149" s="29" t="n">
        <v>145</v>
      </c>
      <c r="B149" s="83" t="inlineStr"/>
      <c r="C149" s="49" t="inlineStr"/>
      <c r="D149" s="32" t="inlineStr">
        <is>
          <t>Seltos GTX (O)</t>
        </is>
      </c>
      <c r="E149" s="33" t="n">
        <v>9</v>
      </c>
      <c r="F149" s="34" t="inlineStr">
        <is>
          <t>Aurora Black Pearl · Frost Blue · Glacier White Pearl · Gravity Grey · Imperial Blue · Ivory Silver Gloss · Magma Red · Morning Haze · Pewter Olive</t>
        </is>
      </c>
      <c r="G149" s="17" t="n">
        <v>9</v>
      </c>
    </row>
    <row r="150" ht="30" customHeight="1">
      <c r="A150" s="84" t="n">
        <v>146</v>
      </c>
      <c r="B150" s="83" t="inlineStr"/>
      <c r="C150" s="90" t="inlineStr"/>
      <c r="D150" s="86" t="inlineStr">
        <is>
          <t>Seltos HTE</t>
        </is>
      </c>
      <c r="E150" s="87" t="n">
        <v>9</v>
      </c>
      <c r="F150" s="88" t="inlineStr">
        <is>
          <t>Aurora Black Pearl · Frost Blue · Glacier White Pearl · Gravity Grey · Imperial Blue · Ivory Silver Gloss · Magma Red · Morning Haze · Pewter Olive</t>
        </is>
      </c>
      <c r="G150" s="89" t="n">
        <v>9</v>
      </c>
    </row>
    <row r="151" ht="30" customHeight="1">
      <c r="A151" s="29" t="n">
        <v>147</v>
      </c>
      <c r="B151" s="83" t="inlineStr"/>
      <c r="C151" s="49" t="inlineStr"/>
      <c r="D151" s="32" t="inlineStr">
        <is>
          <t>Seltos HTE (O)</t>
        </is>
      </c>
      <c r="E151" s="33" t="n">
        <v>9</v>
      </c>
      <c r="F151" s="34" t="inlineStr">
        <is>
          <t>Aurora Black Pearl · Frost Blue · Glacier White Pearl · Gravity Grey · Imperial Blue · Ivory Silver Gloss · Magma Red · Morning Haze · Pewter Olive</t>
        </is>
      </c>
      <c r="G151" s="17" t="n">
        <v>9</v>
      </c>
    </row>
    <row r="152" ht="30" customHeight="1">
      <c r="A152" s="84" t="n">
        <v>148</v>
      </c>
      <c r="B152" s="83" t="inlineStr"/>
      <c r="C152" s="90" t="inlineStr"/>
      <c r="D152" s="86" t="inlineStr">
        <is>
          <t>Seltos HTK</t>
        </is>
      </c>
      <c r="E152" s="87" t="n">
        <v>9</v>
      </c>
      <c r="F152" s="88" t="inlineStr">
        <is>
          <t>Aurora Black Pearl · Frost Blue · Glacier White Pearl · Gravity Grey · Imperial Blue · Ivory Silver Gloss · Magma Red · Morning Haze · Pewter Olive</t>
        </is>
      </c>
      <c r="G152" s="89" t="n">
        <v>9</v>
      </c>
    </row>
    <row r="153" ht="30" customHeight="1">
      <c r="A153" s="29" t="n">
        <v>149</v>
      </c>
      <c r="B153" s="83" t="inlineStr"/>
      <c r="C153" s="49" t="inlineStr"/>
      <c r="D153" s="32" t="inlineStr">
        <is>
          <t>Seltos HTK (O)</t>
        </is>
      </c>
      <c r="E153" s="33" t="n">
        <v>9</v>
      </c>
      <c r="F153" s="34" t="inlineStr">
        <is>
          <t>Aurora Black Pearl · Frost Blue · Glacier White Pearl · Gravity Grey · Imperial Blue · Ivory Silver Gloss · Magma Red · Morning Haze · Pewter Olive</t>
        </is>
      </c>
      <c r="G153" s="17" t="n">
        <v>9</v>
      </c>
    </row>
    <row r="154" ht="30" customHeight="1">
      <c r="A154" s="84" t="n">
        <v>150</v>
      </c>
      <c r="B154" s="83" t="inlineStr"/>
      <c r="C154" s="90" t="inlineStr"/>
      <c r="D154" s="86" t="inlineStr">
        <is>
          <t>Seltos HTX</t>
        </is>
      </c>
      <c r="E154" s="87" t="n">
        <v>9</v>
      </c>
      <c r="F154" s="88" t="inlineStr">
        <is>
          <t>Aurora Black Pearl · Frost Blue · Glacier White Pearl · Gravity Grey · Imperial Blue · Ivory Silver Gloss · Magma Red · Morning Haze · Pewter Olive</t>
        </is>
      </c>
      <c r="G154" s="89" t="n">
        <v>9</v>
      </c>
    </row>
    <row r="155" ht="30" customHeight="1">
      <c r="A155" s="29" t="n">
        <v>151</v>
      </c>
      <c r="B155" s="83" t="inlineStr"/>
      <c r="C155" s="49" t="inlineStr"/>
      <c r="D155" s="32" t="inlineStr">
        <is>
          <t>Seltos HTX (A)</t>
        </is>
      </c>
      <c r="E155" s="33" t="n">
        <v>9</v>
      </c>
      <c r="F155" s="34" t="inlineStr">
        <is>
          <t>Aurora Black Pearl · Frost Blue · Glacier White Pearl · Gravity Grey · Imperial Blue · Ivory Silver Gloss · Magma Red · Morning Haze · Pewter Olive</t>
        </is>
      </c>
      <c r="G155" s="17" t="n">
        <v>9</v>
      </c>
    </row>
    <row r="156" ht="30" customHeight="1">
      <c r="A156" s="84" t="n">
        <v>152</v>
      </c>
      <c r="B156" s="83" t="inlineStr"/>
      <c r="C156" s="90" t="inlineStr"/>
      <c r="D156" s="86" t="inlineStr">
        <is>
          <t>Seltos X-Line</t>
        </is>
      </c>
      <c r="E156" s="87" t="n">
        <v>2</v>
      </c>
      <c r="F156" s="88" t="inlineStr">
        <is>
          <t>Aurora Black Pearl · Matte Graphite</t>
        </is>
      </c>
      <c r="G156" s="89" t="n">
        <v>2</v>
      </c>
    </row>
    <row r="157" ht="30" customHeight="1">
      <c r="A157" s="29" t="n">
        <v>153</v>
      </c>
      <c r="B157" s="83" t="inlineStr"/>
      <c r="C157" s="49" t="inlineStr"/>
      <c r="D157" s="32" t="inlineStr">
        <is>
          <t>Seltos X-Line (A)</t>
        </is>
      </c>
      <c r="E157" s="33" t="n">
        <v>2</v>
      </c>
      <c r="F157" s="34" t="inlineStr">
        <is>
          <t>Aurora Black Pearl · Matte Graphite</t>
        </is>
      </c>
      <c r="G157" s="17" t="n">
        <v>2</v>
      </c>
    </row>
    <row r="158" ht="30" customHeight="1">
      <c r="A158" s="84" t="n">
        <v>154</v>
      </c>
      <c r="B158" s="83" t="inlineStr"/>
      <c r="C158" s="90" t="inlineStr"/>
      <c r="D158" s="86" t="inlineStr">
        <is>
          <t>Seltos X-Line (O)</t>
        </is>
      </c>
      <c r="E158" s="87" t="n">
        <v>2</v>
      </c>
      <c r="F158" s="88" t="inlineStr">
        <is>
          <t>Aurora Black Pearl · Matte Graphite</t>
        </is>
      </c>
      <c r="G158" s="89" t="n">
        <v>2</v>
      </c>
    </row>
    <row r="159" ht="30" customHeight="1">
      <c r="A159" s="29" t="n">
        <v>155</v>
      </c>
      <c r="B159" s="83" t="inlineStr"/>
      <c r="C159" s="31" t="inlineStr">
        <is>
          <t>Sonet</t>
        </is>
      </c>
      <c r="D159" s="32" t="inlineStr">
        <is>
          <t>Sonet GTX Plus</t>
        </is>
      </c>
      <c r="E159" s="33" t="n">
        <v>6</v>
      </c>
      <c r="F159" s="34" t="inlineStr">
        <is>
          <t>Aurora Black Pearl · Glacier White Pearl · Gravity Grey · Imperial Blue · Magma Red · Pewter Olive</t>
        </is>
      </c>
      <c r="G159" s="17" t="n">
        <v>6</v>
      </c>
    </row>
    <row r="160" ht="30" customHeight="1">
      <c r="A160" s="84" t="n">
        <v>156</v>
      </c>
      <c r="B160" s="83" t="inlineStr"/>
      <c r="C160" s="90" t="inlineStr"/>
      <c r="D160" s="86" t="inlineStr">
        <is>
          <t>Sonet HTE</t>
        </is>
      </c>
      <c r="E160" s="87" t="n">
        <v>5</v>
      </c>
      <c r="F160" s="88" t="inlineStr">
        <is>
          <t>Aurora Black Pearl · Gravity Grey · Imperial Blue · Magma Red · Pewter Olive</t>
        </is>
      </c>
      <c r="G160" s="89" t="n">
        <v>5</v>
      </c>
    </row>
    <row r="161" ht="30" customHeight="1">
      <c r="A161" s="29" t="n">
        <v>157</v>
      </c>
      <c r="B161" s="83" t="inlineStr"/>
      <c r="C161" s="49" t="inlineStr"/>
      <c r="D161" s="32" t="inlineStr">
        <is>
          <t>Sonet HTE (O)</t>
        </is>
      </c>
      <c r="E161" s="33" t="n">
        <v>6</v>
      </c>
      <c r="F161" s="34" t="inlineStr">
        <is>
          <t>Aurora Black Pearl · Clear White · Gravity Grey · Imperial Blue · Magma Red · Pewter Olive</t>
        </is>
      </c>
      <c r="G161" s="17" t="n">
        <v>6</v>
      </c>
    </row>
    <row r="162" ht="30" customHeight="1">
      <c r="A162" s="84" t="n">
        <v>158</v>
      </c>
      <c r="B162" s="83" t="inlineStr"/>
      <c r="C162" s="90" t="inlineStr"/>
      <c r="D162" s="86" t="inlineStr">
        <is>
          <t>Sonet HTK (O)</t>
        </is>
      </c>
      <c r="E162" s="87" t="n">
        <v>5</v>
      </c>
      <c r="F162" s="88" t="inlineStr">
        <is>
          <t>Aurora Black Pearl · Gravity Grey · Imperial Blue · Magma Red · Pewter Olive</t>
        </is>
      </c>
      <c r="G162" s="89" t="n">
        <v>5</v>
      </c>
    </row>
    <row r="163" ht="30" customHeight="1">
      <c r="A163" s="29" t="n">
        <v>159</v>
      </c>
      <c r="B163" s="83" t="inlineStr"/>
      <c r="C163" s="49" t="inlineStr"/>
      <c r="D163" s="32" t="inlineStr">
        <is>
          <t>Sonet HTK Plus</t>
        </is>
      </c>
      <c r="E163" s="33" t="n">
        <v>6</v>
      </c>
      <c r="F163" s="34" t="inlineStr">
        <is>
          <t>Aurora Black Pearl · Glacier White Pearl · Gravity Grey · Imperial Blue · Magma Red · Pewter Olive</t>
        </is>
      </c>
      <c r="G163" s="17" t="n">
        <v>6</v>
      </c>
    </row>
    <row r="164" ht="30" customHeight="1">
      <c r="A164" s="84" t="n">
        <v>160</v>
      </c>
      <c r="B164" s="83" t="inlineStr"/>
      <c r="C164" s="90" t="inlineStr"/>
      <c r="D164" s="86" t="inlineStr">
        <is>
          <t>Sonet HTK Plus (O)</t>
        </is>
      </c>
      <c r="E164" s="87" t="n">
        <v>6</v>
      </c>
      <c r="F164" s="88" t="inlineStr">
        <is>
          <t>Aurora Black Pearl · Glacier White Pearl · Gravity Grey · Imperial Blue · Magma Red · Pewter Olive</t>
        </is>
      </c>
      <c r="G164" s="89" t="n">
        <v>6</v>
      </c>
    </row>
    <row r="165" ht="30" customHeight="1">
      <c r="A165" s="29" t="n">
        <v>161</v>
      </c>
      <c r="B165" s="83" t="inlineStr"/>
      <c r="C165" s="49" t="inlineStr"/>
      <c r="D165" s="32" t="inlineStr">
        <is>
          <t>Sonet HTX</t>
        </is>
      </c>
      <c r="E165" s="33" t="n">
        <v>6</v>
      </c>
      <c r="F165" s="34" t="inlineStr">
        <is>
          <t>Aurora Black Pearl · Glacier White Pearl · Gravity Grey · Imperial Blue · Magma Red · Pewter Olive</t>
        </is>
      </c>
      <c r="G165" s="17" t="n">
        <v>6</v>
      </c>
    </row>
    <row r="166" ht="30" customHeight="1">
      <c r="A166" s="84" t="n">
        <v>162</v>
      </c>
      <c r="B166" s="83" t="inlineStr"/>
      <c r="C166" s="90" t="inlineStr"/>
      <c r="D166" s="86" t="inlineStr">
        <is>
          <t>Sonet X Line</t>
        </is>
      </c>
      <c r="E166" s="87" t="n">
        <v>1</v>
      </c>
      <c r="F166" s="88" t="inlineStr">
        <is>
          <t>Matte Graphite</t>
        </is>
      </c>
      <c r="G166" s="89" t="n">
        <v>1</v>
      </c>
    </row>
    <row r="167" ht="30" customHeight="1">
      <c r="A167" s="29" t="n">
        <v>163</v>
      </c>
      <c r="B167" s="83" t="inlineStr"/>
      <c r="C167" s="31" t="inlineStr">
        <is>
          <t>Syros</t>
        </is>
      </c>
      <c r="D167" s="32" t="inlineStr">
        <is>
          <t>Syros HTE</t>
        </is>
      </c>
      <c r="E167" s="33" t="n">
        <v>9</v>
      </c>
      <c r="F167" s="34" t="inlineStr">
        <is>
          <t>Aurora Black Pearl · Frost Blue · Glacier White Pearl · Gravity Grey · Imperial Blue · Intense Red · Ivory Silver Gloss · Ivory Silver Matte · Pewter Olive</t>
        </is>
      </c>
      <c r="G167" s="17" t="n">
        <v>9</v>
      </c>
    </row>
    <row r="168" ht="30" customHeight="1">
      <c r="A168" s="84" t="n">
        <v>164</v>
      </c>
      <c r="B168" s="83" t="inlineStr"/>
      <c r="C168" s="90" t="inlineStr"/>
      <c r="D168" s="86" t="inlineStr">
        <is>
          <t>Syros HTE (O)</t>
        </is>
      </c>
      <c r="E168" s="87" t="n">
        <v>9</v>
      </c>
      <c r="F168" s="88" t="inlineStr">
        <is>
          <t>Aurora Black Pearl · Frost Blue · Glacier White Pearl · Gravity Grey · Imperial Blue · Intense Red · Ivory Silver Gloss · Ivory Silver Matte · Pewter Olive</t>
        </is>
      </c>
      <c r="G168" s="89" t="n">
        <v>9</v>
      </c>
    </row>
    <row r="169" ht="30" customHeight="1">
      <c r="A169" s="29" t="n">
        <v>165</v>
      </c>
      <c r="B169" s="83" t="inlineStr"/>
      <c r="C169" s="49" t="inlineStr"/>
      <c r="D169" s="32" t="inlineStr">
        <is>
          <t>Syros HTK EX</t>
        </is>
      </c>
      <c r="E169" s="33" t="n">
        <v>9</v>
      </c>
      <c r="F169" s="34" t="inlineStr">
        <is>
          <t>Aurora Black Pearl · Frost Blue · Glacier White Pearl · Gravity Grey · Imperial Blue · Intense Red · Ivory Silver Gloss · Ivory Silver Matte · Pewter Olive</t>
        </is>
      </c>
      <c r="G169" s="17" t="n">
        <v>9</v>
      </c>
    </row>
    <row r="170" ht="30" customHeight="1">
      <c r="A170" s="84" t="n">
        <v>166</v>
      </c>
      <c r="B170" s="83" t="inlineStr"/>
      <c r="C170" s="90" t="inlineStr"/>
      <c r="D170" s="86" t="inlineStr">
        <is>
          <t>Syros HTK Plus</t>
        </is>
      </c>
      <c r="E170" s="87" t="n">
        <v>9</v>
      </c>
      <c r="F170" s="88" t="inlineStr">
        <is>
          <t>Aurora Black Pearl · Frost Blue · Glacier White Pearl · Gravity Grey · Imperial Blue · Intense Red · Ivory Silver Gloss · Ivory Silver Matte · Pewter Olive</t>
        </is>
      </c>
      <c r="G170" s="89" t="n">
        <v>9</v>
      </c>
    </row>
    <row r="171" ht="30" customHeight="1">
      <c r="A171" s="29" t="n">
        <v>167</v>
      </c>
      <c r="B171" s="83" t="inlineStr"/>
      <c r="C171" s="49" t="inlineStr"/>
      <c r="D171" s="32" t="inlineStr">
        <is>
          <t>Syros HTK Plus (O)</t>
        </is>
      </c>
      <c r="E171" s="33" t="n">
        <v>9</v>
      </c>
      <c r="F171" s="34" t="inlineStr">
        <is>
          <t>Aurora Black Pearl · Frost Blue · Glacier White Pearl · Gravity Grey · Imperial Blue · Intense Red · Ivory Silver Gloss · Ivory Silver Matte · Pewter Olive</t>
        </is>
      </c>
      <c r="G171" s="17" t="n">
        <v>9</v>
      </c>
    </row>
    <row r="172" ht="30" customHeight="1">
      <c r="A172" s="84" t="n">
        <v>168</v>
      </c>
      <c r="B172" s="83" t="inlineStr"/>
      <c r="C172" s="90" t="inlineStr"/>
      <c r="D172" s="86" t="inlineStr">
        <is>
          <t>Syros HTX</t>
        </is>
      </c>
      <c r="E172" s="87" t="n">
        <v>9</v>
      </c>
      <c r="F172" s="88" t="inlineStr">
        <is>
          <t>Aurora Black Pearl · Frost Blue · Glacier White Pearl · Gravity Grey · Imperial Blue · Intense Red · Ivory Silver Gloss · Ivory Silver Matte · Pewter Olive</t>
        </is>
      </c>
      <c r="G172" s="89" t="n">
        <v>9</v>
      </c>
    </row>
    <row r="173" ht="30" customHeight="1">
      <c r="A173" s="29" t="n">
        <v>169</v>
      </c>
      <c r="B173" s="83" t="inlineStr"/>
      <c r="C173" s="49" t="inlineStr"/>
      <c r="D173" s="32" t="inlineStr">
        <is>
          <t>Syros HTX (O)</t>
        </is>
      </c>
      <c r="E173" s="33" t="n">
        <v>9</v>
      </c>
      <c r="F173" s="34" t="inlineStr">
        <is>
          <t>Aurora Black Pearl · Frost Blue · Glacier White Pearl · Gravity Grey · Imperial Blue · Intense Red · Ivory Silver Gloss · Ivory Silver Matte · Pewter Olive</t>
        </is>
      </c>
      <c r="G173" s="17" t="n">
        <v>9</v>
      </c>
    </row>
    <row r="174" ht="30" customHeight="1">
      <c r="A174" s="91" t="n">
        <v>170</v>
      </c>
      <c r="B174" s="92" t="inlineStr">
        <is>
          <t>MG</t>
        </is>
      </c>
      <c r="C174" s="93" t="inlineStr">
        <is>
          <t>Astor</t>
        </is>
      </c>
      <c r="D174" s="94" t="inlineStr">
        <is>
          <t>Astor Savvy Pro</t>
        </is>
      </c>
      <c r="E174" s="95" t="n">
        <v>6</v>
      </c>
      <c r="F174" s="96" t="inlineStr">
        <is>
          <t>Aurora Silver · Candy White · Candy White with Black Dual Tone · Glaze Red · Havana Grey · Starry Black</t>
        </is>
      </c>
      <c r="G174" s="97" t="n">
        <v>6</v>
      </c>
    </row>
    <row r="175" ht="30" customHeight="1">
      <c r="A175" s="29" t="n">
        <v>171</v>
      </c>
      <c r="B175" s="92" t="inlineStr"/>
      <c r="C175" s="49" t="inlineStr"/>
      <c r="D175" s="32" t="inlineStr">
        <is>
          <t>Astor Select</t>
        </is>
      </c>
      <c r="E175" s="33" t="n">
        <v>4</v>
      </c>
      <c r="F175" s="34" t="inlineStr">
        <is>
          <t>Aurora Silver · Candy White · Glaze Red · Starry Black</t>
        </is>
      </c>
      <c r="G175" s="17" t="n">
        <v>4</v>
      </c>
    </row>
    <row r="176" ht="30" customHeight="1">
      <c r="A176" s="91" t="n">
        <v>172</v>
      </c>
      <c r="B176" s="92" t="inlineStr"/>
      <c r="C176" s="98" t="inlineStr"/>
      <c r="D176" s="94" t="inlineStr">
        <is>
          <t>Astor Sharp Pro</t>
        </is>
      </c>
      <c r="E176" s="95" t="n">
        <v>6</v>
      </c>
      <c r="F176" s="96" t="inlineStr">
        <is>
          <t>Aurora Silver · Candy White · Candy White with Black Dual Tone · Glaze Red · Havana Grey · Starry Black</t>
        </is>
      </c>
      <c r="G176" s="97" t="n">
        <v>6</v>
      </c>
    </row>
    <row r="177" ht="30" customHeight="1">
      <c r="A177" s="29" t="n">
        <v>173</v>
      </c>
      <c r="B177" s="92" t="inlineStr"/>
      <c r="C177" s="49" t="inlineStr"/>
      <c r="D177" s="32" t="inlineStr">
        <is>
          <t>Astor Shine</t>
        </is>
      </c>
      <c r="E177" s="33" t="n">
        <v>3</v>
      </c>
      <c r="F177" s="34" t="inlineStr">
        <is>
          <t>Aurora Silver · Candy White · Starry Black</t>
        </is>
      </c>
      <c r="G177" s="17" t="n">
        <v>3</v>
      </c>
    </row>
    <row r="178" ht="30" customHeight="1">
      <c r="A178" s="91" t="n">
        <v>174</v>
      </c>
      <c r="B178" s="92" t="inlineStr"/>
      <c r="C178" s="98" t="inlineStr"/>
      <c r="D178" s="94" t="inlineStr">
        <is>
          <t>Astor Sprint</t>
        </is>
      </c>
      <c r="E178" s="95" t="n">
        <v>2</v>
      </c>
      <c r="F178" s="96" t="inlineStr">
        <is>
          <t>Aurora Silver · Candy White</t>
        </is>
      </c>
      <c r="G178" s="97" t="n">
        <v>2</v>
      </c>
    </row>
    <row r="179" ht="30" customHeight="1">
      <c r="A179" s="29" t="n">
        <v>175</v>
      </c>
      <c r="B179" s="92" t="inlineStr"/>
      <c r="C179" s="31" t="inlineStr">
        <is>
          <t>Comet EV</t>
        </is>
      </c>
      <c r="D179" s="32" t="inlineStr">
        <is>
          <t>Comet EV Excite</t>
        </is>
      </c>
      <c r="E179" s="33" t="n">
        <v>3</v>
      </c>
      <c r="F179" s="34" t="inlineStr">
        <is>
          <t>Aurora Silver · Candy White · Starry Black</t>
        </is>
      </c>
      <c r="G179" s="17" t="n">
        <v>3</v>
      </c>
    </row>
    <row r="180" ht="30" customHeight="1">
      <c r="A180" s="91" t="n">
        <v>176</v>
      </c>
      <c r="B180" s="92" t="inlineStr"/>
      <c r="C180" s="98" t="inlineStr"/>
      <c r="D180" s="94" t="inlineStr">
        <is>
          <t>Comet EV Excite FC</t>
        </is>
      </c>
      <c r="E180" s="95" t="n">
        <v>3</v>
      </c>
      <c r="F180" s="96" t="inlineStr">
        <is>
          <t>Aurora Silver · Candy White · Starry Black</t>
        </is>
      </c>
      <c r="G180" s="97" t="n">
        <v>3</v>
      </c>
    </row>
    <row r="181" ht="30" customHeight="1">
      <c r="A181" s="29" t="n">
        <v>177</v>
      </c>
      <c r="B181" s="92" t="inlineStr"/>
      <c r="C181" s="49" t="inlineStr"/>
      <c r="D181" s="32" t="inlineStr">
        <is>
          <t>Comet EV Exclusive</t>
        </is>
      </c>
      <c r="E181" s="33" t="n">
        <v>1</v>
      </c>
      <c r="F181" s="34" t="inlineStr">
        <is>
          <t>Candy White and Starry Black</t>
        </is>
      </c>
      <c r="G181" s="17" t="n">
        <v>1</v>
      </c>
    </row>
    <row r="182" ht="30" customHeight="1">
      <c r="A182" s="91" t="n">
        <v>178</v>
      </c>
      <c r="B182" s="92" t="inlineStr"/>
      <c r="C182" s="98" t="inlineStr"/>
      <c r="D182" s="94" t="inlineStr">
        <is>
          <t>Comet EV Exclusive FC</t>
        </is>
      </c>
      <c r="E182" s="95" t="n">
        <v>4</v>
      </c>
      <c r="F182" s="96" t="inlineStr">
        <is>
          <t>Aurora Silver · Candy White · Candy White and Starry Black · Starry Black</t>
        </is>
      </c>
      <c r="G182" s="97" t="n">
        <v>4</v>
      </c>
    </row>
    <row r="183" ht="30" customHeight="1">
      <c r="A183" s="29" t="n">
        <v>179</v>
      </c>
      <c r="B183" s="92" t="inlineStr"/>
      <c r="C183" s="49" t="inlineStr"/>
      <c r="D183" s="32" t="inlineStr">
        <is>
          <t>Comet EV Executive</t>
        </is>
      </c>
      <c r="E183" s="33" t="n">
        <v>1</v>
      </c>
      <c r="F183" s="34" t="inlineStr">
        <is>
          <t>Aurora Silver</t>
        </is>
      </c>
      <c r="G183" s="17" t="n">
        <v>1</v>
      </c>
    </row>
    <row r="184" ht="30" customHeight="1">
      <c r="A184" s="91" t="n">
        <v>180</v>
      </c>
      <c r="B184" s="92" t="inlineStr"/>
      <c r="C184" s="93" t="inlineStr">
        <is>
          <t>Gloster</t>
        </is>
      </c>
      <c r="D184" s="94" t="inlineStr">
        <is>
          <t>Gloster Blackstorm</t>
        </is>
      </c>
      <c r="E184" s="95" t="n">
        <v>1</v>
      </c>
      <c r="F184" s="96" t="inlineStr">
        <is>
          <t>Metal Black</t>
        </is>
      </c>
      <c r="G184" s="97" t="n">
        <v>1</v>
      </c>
    </row>
    <row r="185" ht="30" customHeight="1">
      <c r="A185" s="29" t="n">
        <v>181</v>
      </c>
      <c r="B185" s="92" t="inlineStr"/>
      <c r="C185" s="49" t="inlineStr"/>
      <c r="D185" s="32" t="inlineStr">
        <is>
          <t>Gloster Desertstorm</t>
        </is>
      </c>
      <c r="E185" s="33" t="n">
        <v>4</v>
      </c>
      <c r="F185" s="34" t="inlineStr">
        <is>
          <t>Deep Golden · Metal Ash · Metal Black · Pearl White</t>
        </is>
      </c>
      <c r="G185" s="17" t="n">
        <v>4</v>
      </c>
    </row>
    <row r="186" ht="30" customHeight="1">
      <c r="A186" s="91" t="n">
        <v>182</v>
      </c>
      <c r="B186" s="92" t="inlineStr"/>
      <c r="C186" s="98" t="inlineStr"/>
      <c r="D186" s="94" t="inlineStr">
        <is>
          <t>Gloster Savvy</t>
        </is>
      </c>
      <c r="E186" s="95" t="n">
        <v>4</v>
      </c>
      <c r="F186" s="96" t="inlineStr">
        <is>
          <t>Deep Golden · Metal Ash · Metal Black · Warm White</t>
        </is>
      </c>
      <c r="G186" s="97" t="n">
        <v>4</v>
      </c>
    </row>
    <row r="187" ht="30" customHeight="1">
      <c r="A187" s="29" t="n">
        <v>183</v>
      </c>
      <c r="B187" s="92" t="inlineStr"/>
      <c r="C187" s="49" t="inlineStr"/>
      <c r="D187" s="32" t="inlineStr">
        <is>
          <t>Gloster Sharp</t>
        </is>
      </c>
      <c r="E187" s="33" t="n">
        <v>4</v>
      </c>
      <c r="F187" s="34" t="inlineStr">
        <is>
          <t>Deep Golden · Metal Ash · Metal Black · Warm White</t>
        </is>
      </c>
      <c r="G187" s="17" t="n">
        <v>4</v>
      </c>
    </row>
    <row r="188" ht="30" customHeight="1">
      <c r="A188" s="91" t="n">
        <v>184</v>
      </c>
      <c r="B188" s="92" t="inlineStr"/>
      <c r="C188" s="98" t="inlineStr"/>
      <c r="D188" s="94" t="inlineStr">
        <is>
          <t>Gloster Snowstorm</t>
        </is>
      </c>
      <c r="E188" s="95" t="n">
        <v>4</v>
      </c>
      <c r="F188" s="96" t="inlineStr">
        <is>
          <t>Deep Golden · Metal Ash · Metal Black · Warm White</t>
        </is>
      </c>
      <c r="G188" s="97" t="n">
        <v>4</v>
      </c>
    </row>
    <row r="189" ht="30" customHeight="1">
      <c r="A189" s="29" t="n">
        <v>185</v>
      </c>
      <c r="B189" s="92" t="inlineStr"/>
      <c r="C189" s="31" t="inlineStr">
        <is>
          <t>Hector</t>
        </is>
      </c>
      <c r="D189" s="32" t="inlineStr">
        <is>
          <t>Hector Savvy Pro</t>
        </is>
      </c>
      <c r="E189" s="33" t="n">
        <v>5</v>
      </c>
      <c r="F189" s="34" t="inlineStr">
        <is>
          <t>Aurora Silver · Celadon Blue · Glaze Red · Peral White · Starry Black</t>
        </is>
      </c>
      <c r="G189" s="17" t="n">
        <v>5</v>
      </c>
    </row>
    <row r="190" ht="30" customHeight="1">
      <c r="A190" s="91" t="n">
        <v>186</v>
      </c>
      <c r="B190" s="92" t="inlineStr"/>
      <c r="C190" s="98" t="inlineStr"/>
      <c r="D190" s="94" t="inlineStr">
        <is>
          <t>Hector Select Pro</t>
        </is>
      </c>
      <c r="E190" s="95" t="n">
        <v>5</v>
      </c>
      <c r="F190" s="96" t="inlineStr">
        <is>
          <t>Aurora Silver · Celadon Blue · Glaze Red · Peral White · Starry Black</t>
        </is>
      </c>
      <c r="G190" s="97" t="n">
        <v>5</v>
      </c>
    </row>
    <row r="191" ht="30" customHeight="1">
      <c r="A191" s="29" t="n">
        <v>187</v>
      </c>
      <c r="B191" s="92" t="inlineStr"/>
      <c r="C191" s="49" t="inlineStr"/>
      <c r="D191" s="32" t="inlineStr">
        <is>
          <t>Hector Sharp Pro</t>
        </is>
      </c>
      <c r="E191" s="33" t="n">
        <v>5</v>
      </c>
      <c r="F191" s="34" t="inlineStr">
        <is>
          <t>Aurora Silver · Celadon Blue · Glaze Red · Peral White · Starry Black</t>
        </is>
      </c>
      <c r="G191" s="17" t="n">
        <v>5</v>
      </c>
    </row>
    <row r="192" ht="30" customHeight="1">
      <c r="A192" s="91" t="n">
        <v>188</v>
      </c>
      <c r="B192" s="92" t="inlineStr"/>
      <c r="C192" s="98" t="inlineStr"/>
      <c r="D192" s="94" t="inlineStr">
        <is>
          <t>Hector Smart Pro</t>
        </is>
      </c>
      <c r="E192" s="95" t="n">
        <v>5</v>
      </c>
      <c r="F192" s="96" t="inlineStr">
        <is>
          <t>Aurora Silver · Celadon Blue · Glaze Red · Peral White · Starry Black</t>
        </is>
      </c>
      <c r="G192" s="97" t="n">
        <v>5</v>
      </c>
    </row>
    <row r="193" ht="30" customHeight="1">
      <c r="A193" s="29" t="n">
        <v>189</v>
      </c>
      <c r="B193" s="92" t="inlineStr"/>
      <c r="C193" s="49" t="inlineStr"/>
      <c r="D193" s="32" t="inlineStr">
        <is>
          <t>Hector Style</t>
        </is>
      </c>
      <c r="E193" s="33" t="n">
        <v>5</v>
      </c>
      <c r="F193" s="34" t="inlineStr">
        <is>
          <t>Aurora Silver · Celadon Blue · Glaze Red · Peral White · Starry Black</t>
        </is>
      </c>
      <c r="G193" s="17" t="n">
        <v>5</v>
      </c>
    </row>
    <row r="194" ht="30" customHeight="1">
      <c r="A194" s="91" t="n">
        <v>190</v>
      </c>
      <c r="B194" s="92" t="inlineStr"/>
      <c r="C194" s="93" t="inlineStr">
        <is>
          <t>Windsor EV</t>
        </is>
      </c>
      <c r="D194" s="94" t="inlineStr">
        <is>
          <t>Windsor EV Essence</t>
        </is>
      </c>
      <c r="E194" s="95" t="n">
        <v>4</v>
      </c>
      <c r="F194" s="96" t="inlineStr">
        <is>
          <t>Clay Beige · Pearl White · Starry Black · Turquoise Green</t>
        </is>
      </c>
      <c r="G194" s="97" t="n">
        <v>4</v>
      </c>
    </row>
    <row r="195" ht="30" customHeight="1">
      <c r="A195" s="29" t="n">
        <v>191</v>
      </c>
      <c r="B195" s="92" t="inlineStr"/>
      <c r="C195" s="49" t="inlineStr"/>
      <c r="D195" s="32" t="inlineStr">
        <is>
          <t>Windsor EV Essence Pro</t>
        </is>
      </c>
      <c r="E195" s="33" t="n">
        <v>6</v>
      </c>
      <c r="F195" s="34" t="inlineStr">
        <is>
          <t>Aurora Silver · Celadon Blue · Glaze Red · Pearl White · Starry Black · Turquoise Green</t>
        </is>
      </c>
      <c r="G195" s="17" t="n">
        <v>6</v>
      </c>
    </row>
    <row r="196" ht="30" customHeight="1">
      <c r="A196" s="91" t="n">
        <v>192</v>
      </c>
      <c r="B196" s="92" t="inlineStr"/>
      <c r="C196" s="98" t="inlineStr"/>
      <c r="D196" s="94" t="inlineStr">
        <is>
          <t>Windsor EV Excite</t>
        </is>
      </c>
      <c r="E196" s="95" t="n">
        <v>1</v>
      </c>
      <c r="F196" s="96" t="inlineStr">
        <is>
          <t>Pearl White</t>
        </is>
      </c>
      <c r="G196" s="97" t="n">
        <v>1</v>
      </c>
    </row>
    <row r="197" ht="30" customHeight="1">
      <c r="A197" s="29" t="n">
        <v>193</v>
      </c>
      <c r="B197" s="92" t="inlineStr"/>
      <c r="C197" s="49" t="inlineStr"/>
      <c r="D197" s="32" t="inlineStr">
        <is>
          <t>Windsor EV Exclusive</t>
        </is>
      </c>
      <c r="E197" s="33" t="n">
        <v>2</v>
      </c>
      <c r="F197" s="34" t="inlineStr">
        <is>
          <t>Pearl White · Starry Black</t>
        </is>
      </c>
      <c r="G197" s="17" t="n">
        <v>2</v>
      </c>
    </row>
    <row r="198" ht="30" customHeight="1">
      <c r="A198" s="91" t="n">
        <v>194</v>
      </c>
      <c r="B198" s="92" t="inlineStr"/>
      <c r="C198" s="98" t="inlineStr"/>
      <c r="D198" s="94" t="inlineStr">
        <is>
          <t>Windsor EV Exclusive Pro</t>
        </is>
      </c>
      <c r="E198" s="95" t="n">
        <v>3</v>
      </c>
      <c r="F198" s="96" t="inlineStr">
        <is>
          <t>Pearl White · Starry Black · Turquoise Green</t>
        </is>
      </c>
      <c r="G198" s="97" t="n">
        <v>3</v>
      </c>
    </row>
    <row r="199" ht="30" customHeight="1">
      <c r="A199" s="29" t="n">
        <v>195</v>
      </c>
      <c r="B199" s="92" t="inlineStr"/>
      <c r="C199" s="49" t="inlineStr"/>
      <c r="D199" s="32" t="inlineStr">
        <is>
          <t>Windsor EV Inspire Limited</t>
        </is>
      </c>
      <c r="E199" s="33" t="n">
        <v>1</v>
      </c>
      <c r="F199" s="34" t="inlineStr">
        <is>
          <t>Pearl White</t>
        </is>
      </c>
      <c r="G199" s="17" t="n">
        <v>1</v>
      </c>
    </row>
    <row r="200" ht="30" customHeight="1">
      <c r="A200" s="91" t="n">
        <v>196</v>
      </c>
      <c r="B200" s="92" t="inlineStr"/>
      <c r="C200" s="93" t="inlineStr">
        <is>
          <t>ZS EV</t>
        </is>
      </c>
      <c r="D200" s="94" t="inlineStr">
        <is>
          <t>ZS EV 100-Year</t>
        </is>
      </c>
      <c r="E200" s="95" t="n">
        <v>1</v>
      </c>
      <c r="F200" s="96" t="inlineStr">
        <is>
          <t>Green with Black roof</t>
        </is>
      </c>
      <c r="G200" s="97" t="n">
        <v>1</v>
      </c>
    </row>
    <row r="201" ht="30" customHeight="1">
      <c r="A201" s="29" t="n">
        <v>197</v>
      </c>
      <c r="B201" s="92" t="inlineStr"/>
      <c r="C201" s="49" t="inlineStr"/>
      <c r="D201" s="32" t="inlineStr">
        <is>
          <t>ZS EV Essence</t>
        </is>
      </c>
      <c r="E201" s="33" t="n">
        <v>4</v>
      </c>
      <c r="F201" s="34" t="inlineStr">
        <is>
          <t>Aurora Silver · Candy White · Glaze Red · Starry Black</t>
        </is>
      </c>
      <c r="G201" s="17" t="n">
        <v>4</v>
      </c>
    </row>
    <row r="202" ht="30" customHeight="1">
      <c r="A202" s="91" t="n">
        <v>198</v>
      </c>
      <c r="B202" s="92" t="inlineStr"/>
      <c r="C202" s="98" t="inlineStr"/>
      <c r="D202" s="94" t="inlineStr">
        <is>
          <t>ZS EV Excite Pro</t>
        </is>
      </c>
      <c r="E202" s="95" t="n">
        <v>4</v>
      </c>
      <c r="F202" s="96" t="inlineStr">
        <is>
          <t>Aurora Silver · Candy White · Glaze Red · Starry Black</t>
        </is>
      </c>
      <c r="G202" s="97" t="n">
        <v>4</v>
      </c>
    </row>
    <row r="203" ht="30" customHeight="1">
      <c r="A203" s="29" t="n">
        <v>199</v>
      </c>
      <c r="B203" s="92" t="inlineStr"/>
      <c r="C203" s="49" t="inlineStr"/>
      <c r="D203" s="32" t="inlineStr">
        <is>
          <t>ZS EV Exclusive Plus</t>
        </is>
      </c>
      <c r="E203" s="33" t="n">
        <v>4</v>
      </c>
      <c r="F203" s="34" t="inlineStr">
        <is>
          <t>Aurora Silver · Candy White · Glaze Red · Starry Black</t>
        </is>
      </c>
      <c r="G203" s="17" t="n">
        <v>4</v>
      </c>
    </row>
    <row r="204" ht="30" customHeight="1">
      <c r="A204" s="91" t="n">
        <v>200</v>
      </c>
      <c r="B204" s="92" t="inlineStr"/>
      <c r="C204" s="98" t="inlineStr"/>
      <c r="D204" s="94" t="inlineStr">
        <is>
          <t>ZS EV Executive</t>
        </is>
      </c>
      <c r="E204" s="95" t="n">
        <v>3</v>
      </c>
      <c r="F204" s="96" t="inlineStr">
        <is>
          <t>Aurora Silver · Candy White · Starry Black</t>
        </is>
      </c>
      <c r="G204" s="97" t="n">
        <v>3</v>
      </c>
    </row>
    <row r="205" ht="30" customHeight="1">
      <c r="A205" s="29" t="n">
        <v>201</v>
      </c>
      <c r="B205" s="99" t="inlineStr">
        <is>
          <t>Mahindra</t>
        </is>
      </c>
      <c r="C205" s="31" t="inlineStr">
        <is>
          <t>BE 6</t>
        </is>
      </c>
      <c r="D205" s="32" t="inlineStr">
        <is>
          <t>BE 6 Batman Edition</t>
        </is>
      </c>
      <c r="E205" s="33" t="n">
        <v>1</v>
      </c>
      <c r="F205" s="34" t="inlineStr">
        <is>
          <t>Satin Black</t>
        </is>
      </c>
      <c r="G205" s="17" t="n">
        <v>1</v>
      </c>
    </row>
    <row r="206" ht="30" customHeight="1">
      <c r="A206" s="100" t="n">
        <v>202</v>
      </c>
      <c r="B206" s="99" t="inlineStr"/>
      <c r="C206" s="101" t="inlineStr"/>
      <c r="D206" s="102" t="inlineStr">
        <is>
          <t>BE 6 Pack One</t>
        </is>
      </c>
      <c r="E206" s="103" t="n">
        <v>8</v>
      </c>
      <c r="F206" s="104" t="inlineStr">
        <is>
          <t>Deep Forest · Desert Myst · Desert Myst Satin · Everest White · Everest White Satin · Firestorm Orange · Stealth Black · Tango Red</t>
        </is>
      </c>
      <c r="G206" s="105" t="n">
        <v>8</v>
      </c>
    </row>
    <row r="207" ht="30" customHeight="1">
      <c r="A207" s="29" t="n">
        <v>203</v>
      </c>
      <c r="B207" s="99" t="inlineStr"/>
      <c r="C207" s="49" t="inlineStr"/>
      <c r="D207" s="32" t="inlineStr">
        <is>
          <t>BE 6 Pack One Above</t>
        </is>
      </c>
      <c r="E207" s="33" t="n">
        <v>8</v>
      </c>
      <c r="F207" s="34" t="inlineStr">
        <is>
          <t>Deep Forest · Desert Myst · Desert Myst Satin · Everest White · Everest White Satin · Firestorm Orange · Stealth Black · Tango Red</t>
        </is>
      </c>
      <c r="G207" s="17" t="n">
        <v>8</v>
      </c>
    </row>
    <row r="208" ht="30" customHeight="1">
      <c r="A208" s="100" t="n">
        <v>204</v>
      </c>
      <c r="B208" s="99" t="inlineStr"/>
      <c r="C208" s="101" t="inlineStr"/>
      <c r="D208" s="102" t="inlineStr">
        <is>
          <t>BE 6 Pack Three</t>
        </is>
      </c>
      <c r="E208" s="103" t="n">
        <v>8</v>
      </c>
      <c r="F208" s="104" t="inlineStr">
        <is>
          <t>Deep Forest · Desert Myst · Desert Myst Satin · Everest White · Everest White Satin · Firestorm Orange · Stealth Black · Tango Red</t>
        </is>
      </c>
      <c r="G208" s="105" t="n">
        <v>8</v>
      </c>
    </row>
    <row r="209" ht="30" customHeight="1">
      <c r="A209" s="29" t="n">
        <v>205</v>
      </c>
      <c r="B209" s="99" t="inlineStr"/>
      <c r="C209" s="49" t="inlineStr"/>
      <c r="D209" s="32" t="inlineStr">
        <is>
          <t>BE 6 Pack Three Select</t>
        </is>
      </c>
      <c r="E209" s="33" t="n">
        <v>8</v>
      </c>
      <c r="F209" s="34" t="inlineStr">
        <is>
          <t>Deep Forest · Desert Myst · Desert Myst Satin · Everest White · Everest White Satin · Firestorm Orange · Stealth Black · Tango Red</t>
        </is>
      </c>
      <c r="G209" s="17" t="n">
        <v>8</v>
      </c>
    </row>
    <row r="210" ht="30" customHeight="1">
      <c r="A210" s="100" t="n">
        <v>206</v>
      </c>
      <c r="B210" s="99" t="inlineStr"/>
      <c r="C210" s="101" t="inlineStr"/>
      <c r="D210" s="102" t="inlineStr">
        <is>
          <t>BE 6 Pack Two</t>
        </is>
      </c>
      <c r="E210" s="103" t="n">
        <v>8</v>
      </c>
      <c r="F210" s="104" t="inlineStr">
        <is>
          <t>Deep Forest · Desert Myst · Desert Myst Satin · Everest White · Everest White Satin · Firestorm Orange · Stealth Black · Tango Red</t>
        </is>
      </c>
      <c r="G210" s="105" t="n">
        <v>8</v>
      </c>
    </row>
    <row r="211" ht="30" customHeight="1">
      <c r="A211" s="29" t="n">
        <v>207</v>
      </c>
      <c r="B211" s="99" t="inlineStr"/>
      <c r="C211" s="31" t="inlineStr">
        <is>
          <t>Bolero</t>
        </is>
      </c>
      <c r="D211" s="32" t="inlineStr">
        <is>
          <t>Bolero B4</t>
        </is>
      </c>
      <c r="E211" s="33" t="n">
        <v>4</v>
      </c>
      <c r="F211" s="34" t="inlineStr">
        <is>
          <t>Diamond White · Dsat Silver · Rocky Beige · Stealth Black</t>
        </is>
      </c>
      <c r="G211" s="17" t="n">
        <v>4</v>
      </c>
    </row>
    <row r="212" ht="30" customHeight="1">
      <c r="A212" s="100" t="n">
        <v>208</v>
      </c>
      <c r="B212" s="99" t="inlineStr"/>
      <c r="C212" s="101" t="inlineStr"/>
      <c r="D212" s="102" t="inlineStr">
        <is>
          <t>Bolero B6</t>
        </is>
      </c>
      <c r="E212" s="103" t="n">
        <v>4</v>
      </c>
      <c r="F212" s="104" t="inlineStr">
        <is>
          <t>Diamond White · Dsat Silver · Rocky Beige · Stealth Black</t>
        </is>
      </c>
      <c r="G212" s="105" t="n">
        <v>4</v>
      </c>
    </row>
    <row r="213" ht="30" customHeight="1">
      <c r="A213" s="29" t="n">
        <v>209</v>
      </c>
      <c r="B213" s="99" t="inlineStr"/>
      <c r="C213" s="49" t="inlineStr"/>
      <c r="D213" s="32" t="inlineStr">
        <is>
          <t>Bolero B6 (O)</t>
        </is>
      </c>
      <c r="E213" s="33" t="n">
        <v>4</v>
      </c>
      <c r="F213" s="34" t="inlineStr">
        <is>
          <t>Diamond White · Dsat Silver · Rocky Beige · Stealth Black</t>
        </is>
      </c>
      <c r="G213" s="17" t="n">
        <v>4</v>
      </c>
    </row>
    <row r="214" ht="30" customHeight="1">
      <c r="A214" s="100" t="n">
        <v>210</v>
      </c>
      <c r="B214" s="99" t="inlineStr"/>
      <c r="C214" s="101" t="inlineStr"/>
      <c r="D214" s="102" t="inlineStr">
        <is>
          <t>Bolero B8</t>
        </is>
      </c>
      <c r="E214" s="103" t="n">
        <v>4</v>
      </c>
      <c r="F214" s="104" t="inlineStr">
        <is>
          <t>Diamond White · Dsat Silver · Rocky Beige · Stealth Black</t>
        </is>
      </c>
      <c r="G214" s="105" t="n">
        <v>4</v>
      </c>
    </row>
    <row r="215" ht="30" customHeight="1">
      <c r="A215" s="29" t="n">
        <v>211</v>
      </c>
      <c r="B215" s="99" t="inlineStr"/>
      <c r="C215" s="31" t="inlineStr">
        <is>
          <t>Scorpio</t>
        </is>
      </c>
      <c r="D215" s="32" t="inlineStr">
        <is>
          <t>Scorpio N Z2</t>
        </is>
      </c>
      <c r="E215" s="33" t="n">
        <v>2</v>
      </c>
      <c r="F215" s="34" t="inlineStr">
        <is>
          <t>Everest White · Valyrian Silver</t>
        </is>
      </c>
      <c r="G215" s="17" t="n">
        <v>2</v>
      </c>
    </row>
    <row r="216" ht="30" customHeight="1">
      <c r="A216" s="100" t="n">
        <v>212</v>
      </c>
      <c r="B216" s="99" t="inlineStr"/>
      <c r="C216" s="101" t="inlineStr"/>
      <c r="D216" s="102" t="inlineStr">
        <is>
          <t>Scorpio N Z4</t>
        </is>
      </c>
      <c r="E216" s="103" t="n">
        <v>2</v>
      </c>
      <c r="F216" s="104" t="inlineStr">
        <is>
          <t>Everest White · Valyrian Silver</t>
        </is>
      </c>
      <c r="G216" s="105" t="n">
        <v>2</v>
      </c>
    </row>
    <row r="217" ht="30" customHeight="1">
      <c r="A217" s="29" t="n">
        <v>213</v>
      </c>
      <c r="B217" s="99" t="inlineStr"/>
      <c r="C217" s="49" t="inlineStr"/>
      <c r="D217" s="32" t="inlineStr">
        <is>
          <t>Scorpio N Z6</t>
        </is>
      </c>
      <c r="E217" s="33" t="n">
        <v>4</v>
      </c>
      <c r="F217" s="34" t="inlineStr">
        <is>
          <t>Deep Forest · Everest White · Red Rage · Valyrian Silver</t>
        </is>
      </c>
      <c r="G217" s="17" t="n">
        <v>4</v>
      </c>
    </row>
    <row r="218" ht="30" customHeight="1">
      <c r="A218" s="100" t="n">
        <v>214</v>
      </c>
      <c r="B218" s="99" t="inlineStr"/>
      <c r="C218" s="101" t="inlineStr"/>
      <c r="D218" s="102" t="inlineStr">
        <is>
          <t>Scorpio N Z8</t>
        </is>
      </c>
      <c r="E218" s="103" t="n">
        <v>4</v>
      </c>
      <c r="F218" s="104" t="inlineStr">
        <is>
          <t>Deep Forest · Everest White · Red Rage · Valyrian Silver</t>
        </is>
      </c>
      <c r="G218" s="105" t="n">
        <v>4</v>
      </c>
    </row>
    <row r="219" ht="30" customHeight="1">
      <c r="A219" s="29" t="n">
        <v>215</v>
      </c>
      <c r="B219" s="99" t="inlineStr"/>
      <c r="C219" s="49" t="inlineStr"/>
      <c r="D219" s="32" t="inlineStr">
        <is>
          <t>Scorpio N Z8 L</t>
        </is>
      </c>
      <c r="E219" s="33" t="n">
        <v>6</v>
      </c>
      <c r="F219" s="34" t="inlineStr">
        <is>
          <t>Black · Deep Forest · Everest White · Midnight Black · Red Rage · Valyrian Silver</t>
        </is>
      </c>
      <c r="G219" s="17" t="n">
        <v>6</v>
      </c>
    </row>
    <row r="220" ht="30" customHeight="1">
      <c r="A220" s="100" t="n">
        <v>216</v>
      </c>
      <c r="B220" s="99" t="inlineStr"/>
      <c r="C220" s="101" t="inlineStr"/>
      <c r="D220" s="102" t="inlineStr">
        <is>
          <t>Scorpio N Z8 S</t>
        </is>
      </c>
      <c r="E220" s="103" t="n">
        <v>6</v>
      </c>
      <c r="F220" s="104" t="inlineStr">
        <is>
          <t>Black · Deep Forest · Everest White · Midnight Black · Red Rage · Valyrian Silver</t>
        </is>
      </c>
      <c r="G220" s="105" t="n">
        <v>6</v>
      </c>
    </row>
    <row r="221" ht="30" customHeight="1">
      <c r="A221" s="29" t="n">
        <v>217</v>
      </c>
      <c r="B221" s="99" t="inlineStr"/>
      <c r="C221" s="49" t="inlineStr"/>
      <c r="D221" s="32" t="inlineStr">
        <is>
          <t>Scorpio N Z8 T</t>
        </is>
      </c>
      <c r="E221" s="33" t="n">
        <v>6</v>
      </c>
      <c r="F221" s="34" t="inlineStr">
        <is>
          <t>Black · Deep Forest · Everest White · Midnight Black · Red Rage · Valyrian Silver</t>
        </is>
      </c>
      <c r="G221" s="17" t="n">
        <v>6</v>
      </c>
    </row>
    <row r="222" ht="30" customHeight="1">
      <c r="A222" s="100" t="n">
        <v>218</v>
      </c>
      <c r="B222" s="99" t="inlineStr"/>
      <c r="C222" s="106" t="inlineStr">
        <is>
          <t>Thar</t>
        </is>
      </c>
      <c r="D222" s="102" t="inlineStr">
        <is>
          <t>Thar Roxx AX3 L</t>
        </is>
      </c>
      <c r="E222" s="103" t="n">
        <v>7</v>
      </c>
      <c r="F222" s="104" t="inlineStr">
        <is>
          <t>Battleship Grey · Burnt Sienna · Deep Forest · Everest White · Nebula Blue · Stealth Black · Tango Red</t>
        </is>
      </c>
      <c r="G222" s="105" t="n">
        <v>7</v>
      </c>
    </row>
    <row r="223" ht="30" customHeight="1">
      <c r="A223" s="29" t="n">
        <v>219</v>
      </c>
      <c r="B223" s="99" t="inlineStr"/>
      <c r="C223" s="49" t="inlineStr"/>
      <c r="D223" s="32" t="inlineStr">
        <is>
          <t>Thar Roxx AX5 L</t>
        </is>
      </c>
      <c r="E223" s="33" t="n">
        <v>7</v>
      </c>
      <c r="F223" s="34" t="inlineStr">
        <is>
          <t>Battleship Grey · Burnt Sienna · Deep Forest · Everest White · Nebula Blue · Stealth Black · Tango Red</t>
        </is>
      </c>
      <c r="G223" s="17" t="n">
        <v>7</v>
      </c>
    </row>
    <row r="224" ht="30" customHeight="1">
      <c r="A224" s="100" t="n">
        <v>220</v>
      </c>
      <c r="B224" s="99" t="inlineStr"/>
      <c r="C224" s="101" t="inlineStr"/>
      <c r="D224" s="102" t="inlineStr">
        <is>
          <t>Thar Roxx AX7 L</t>
        </is>
      </c>
      <c r="E224" s="103" t="n">
        <v>7</v>
      </c>
      <c r="F224" s="104" t="inlineStr">
        <is>
          <t>Battleship Grey · Burnt Sienna · Deep Forest · Everest White · Nebula Blue · Stealth Black · Tango Red</t>
        </is>
      </c>
      <c r="G224" s="105" t="n">
        <v>7</v>
      </c>
    </row>
    <row r="225" ht="30" customHeight="1">
      <c r="A225" s="29" t="n">
        <v>221</v>
      </c>
      <c r="B225" s="99" t="inlineStr"/>
      <c r="C225" s="49" t="inlineStr"/>
      <c r="D225" s="32" t="inlineStr">
        <is>
          <t>Thar Roxx MX3</t>
        </is>
      </c>
      <c r="E225" s="33" t="n">
        <v>3</v>
      </c>
      <c r="F225" s="34" t="inlineStr">
        <is>
          <t>Everest White · Stealth Black · Tango Red</t>
        </is>
      </c>
      <c r="G225" s="17" t="n">
        <v>3</v>
      </c>
    </row>
    <row r="226" ht="30" customHeight="1">
      <c r="A226" s="100" t="n">
        <v>222</v>
      </c>
      <c r="B226" s="99" t="inlineStr"/>
      <c r="C226" s="101" t="inlineStr"/>
      <c r="D226" s="102" t="inlineStr">
        <is>
          <t>Thar Roxx MX5</t>
        </is>
      </c>
      <c r="E226" s="103" t="n">
        <v>7</v>
      </c>
      <c r="F226" s="104" t="inlineStr">
        <is>
          <t>Battleship Grey · Burnt Sienna · Deep Forest · Everest White · Nebula Blue · Stealth Black · Tango Red</t>
        </is>
      </c>
      <c r="G226" s="105" t="n">
        <v>7</v>
      </c>
    </row>
    <row r="227" ht="30" customHeight="1">
      <c r="A227" s="29" t="n">
        <v>223</v>
      </c>
      <c r="B227" s="99" t="inlineStr"/>
      <c r="C227" s="49" t="inlineStr"/>
      <c r="D227" s="32" t="inlineStr">
        <is>
          <t>Thar Roxx Star Edition</t>
        </is>
      </c>
      <c r="E227" s="33" t="n">
        <v>4</v>
      </c>
      <c r="F227" s="34" t="inlineStr">
        <is>
          <t>Citrine Yellow · Everest White · Stealth Black · Tango Red</t>
        </is>
      </c>
      <c r="G227" s="17" t="n">
        <v>4</v>
      </c>
    </row>
    <row r="228" ht="30" customHeight="1">
      <c r="A228" s="100" t="n">
        <v>224</v>
      </c>
      <c r="B228" s="99" t="inlineStr"/>
      <c r="C228" s="106" t="inlineStr">
        <is>
          <t>XEV 9e</t>
        </is>
      </c>
      <c r="D228" s="102" t="inlineStr">
        <is>
          <t>XEV 9e Cineluxe Edition</t>
        </is>
      </c>
      <c r="E228" s="103" t="n">
        <v>2</v>
      </c>
      <c r="F228" s="104" t="inlineStr">
        <is>
          <t>Satin White · Stealth Black</t>
        </is>
      </c>
      <c r="G228" s="105" t="n">
        <v>2</v>
      </c>
    </row>
    <row r="229" ht="30" customHeight="1">
      <c r="A229" s="29" t="n">
        <v>225</v>
      </c>
      <c r="B229" s="99" t="inlineStr"/>
      <c r="C229" s="49" t="inlineStr"/>
      <c r="D229" s="32" t="inlineStr">
        <is>
          <t>XEV 9e Pack One</t>
        </is>
      </c>
      <c r="E229" s="33" t="n">
        <v>7</v>
      </c>
      <c r="F229" s="34" t="inlineStr">
        <is>
          <t>Deep Forest · Desert Myst · Everest White · Nebula Blue · Ruby Velvet · Stealth Black · Tango Red</t>
        </is>
      </c>
      <c r="G229" s="17" t="n">
        <v>7</v>
      </c>
    </row>
    <row r="230" ht="30" customHeight="1">
      <c r="A230" s="100" t="n">
        <v>226</v>
      </c>
      <c r="B230" s="99" t="inlineStr"/>
      <c r="C230" s="101" t="inlineStr"/>
      <c r="D230" s="102" t="inlineStr">
        <is>
          <t>XEV 9e Pack Three</t>
        </is>
      </c>
      <c r="E230" s="103" t="n">
        <v>7</v>
      </c>
      <c r="F230" s="104" t="inlineStr">
        <is>
          <t>Deep Forest · Desert Myst · Everest White · Nebula Blue · Ruby Velvet · Stealth Black · Tango Red</t>
        </is>
      </c>
      <c r="G230" s="105" t="n">
        <v>7</v>
      </c>
    </row>
    <row r="231" ht="30" customHeight="1">
      <c r="A231" s="29" t="n">
        <v>227</v>
      </c>
      <c r="B231" s="99" t="inlineStr"/>
      <c r="C231" s="49" t="inlineStr"/>
      <c r="D231" s="32" t="inlineStr">
        <is>
          <t>XEV 9e Pack Three Select</t>
        </is>
      </c>
      <c r="E231" s="33" t="n">
        <v>7</v>
      </c>
      <c r="F231" s="34" t="inlineStr">
        <is>
          <t>Deep Forest · Desert Myst · Everest White · Nebula Blue · Ruby Velvet · Stealth Black · Tango Red</t>
        </is>
      </c>
      <c r="G231" s="17" t="n">
        <v>7</v>
      </c>
    </row>
    <row r="232" ht="30" customHeight="1">
      <c r="A232" s="100" t="n">
        <v>228</v>
      </c>
      <c r="B232" s="99" t="inlineStr"/>
      <c r="C232" s="101" t="inlineStr"/>
      <c r="D232" s="102" t="inlineStr">
        <is>
          <t>XEV 9e Pack Two</t>
        </is>
      </c>
      <c r="E232" s="103" t="n">
        <v>7</v>
      </c>
      <c r="F232" s="104" t="inlineStr">
        <is>
          <t>Deep Forest · Desert Myst · Everest White · Nebula Blue · Ruby Velvet · Stealth Black · Tango Red</t>
        </is>
      </c>
      <c r="G232" s="105" t="n">
        <v>7</v>
      </c>
    </row>
    <row r="233" ht="30" customHeight="1">
      <c r="A233" s="29" t="n">
        <v>229</v>
      </c>
      <c r="B233" s="99" t="inlineStr"/>
      <c r="C233" s="31" t="inlineStr">
        <is>
          <t>XUV 3XO</t>
        </is>
      </c>
      <c r="D233" s="32" t="inlineStr">
        <is>
          <t>XUV 3XO AX5</t>
        </is>
      </c>
      <c r="E233" s="33" t="n">
        <v>1</v>
      </c>
      <c r="F233" s="34" t="inlineStr">
        <is>
          <t>Citrine Yellow</t>
        </is>
      </c>
      <c r="G233" s="17" t="n">
        <v>1</v>
      </c>
    </row>
    <row r="234" ht="30" customHeight="1">
      <c r="A234" s="100" t="n">
        <v>230</v>
      </c>
      <c r="B234" s="99" t="inlineStr"/>
      <c r="C234" s="101" t="inlineStr"/>
      <c r="D234" s="102" t="inlineStr">
        <is>
          <t>XUV 3XO AX5L</t>
        </is>
      </c>
      <c r="E234" s="103" t="n">
        <v>1</v>
      </c>
      <c r="F234" s="104" t="inlineStr">
        <is>
          <t>Citrine Yellow</t>
        </is>
      </c>
      <c r="G234" s="105" t="n">
        <v>1</v>
      </c>
    </row>
    <row r="235" ht="30" customHeight="1">
      <c r="A235" s="29" t="n">
        <v>231</v>
      </c>
      <c r="B235" s="99" t="inlineStr"/>
      <c r="C235" s="49" t="inlineStr"/>
      <c r="D235" s="32" t="inlineStr">
        <is>
          <t>XUV 3XO AX7</t>
        </is>
      </c>
      <c r="E235" s="33" t="n">
        <v>8</v>
      </c>
      <c r="F235" s="34" t="inlineStr">
        <is>
          <t>Citrine Yellow with Stealth Black · Deep Forest with Galvono Grey · Dune Beige with Stealth Black · Everest White with Stealth Black · Galvono Grey with Stealth Black · Nebula Blue with Galvano Grey · Stealth Black with Galvono Grey · Tango Red with Stealth Black</t>
        </is>
      </c>
      <c r="G235" s="17" t="n">
        <v>8</v>
      </c>
    </row>
    <row r="236" ht="30" customHeight="1">
      <c r="A236" s="100" t="n">
        <v>232</v>
      </c>
      <c r="B236" s="99" t="inlineStr"/>
      <c r="C236" s="101" t="inlineStr"/>
      <c r="D236" s="102" t="inlineStr">
        <is>
          <t>XUV 3XO AX7L</t>
        </is>
      </c>
      <c r="E236" s="103" t="n">
        <v>8</v>
      </c>
      <c r="F236" s="104" t="inlineStr">
        <is>
          <t>Citrine Yellow with Stealth Black · Deep Forest with Galvono Grey · Dune Beige with Stealth Black · Everest White with Stealth Black · Galvono Grey with Stealth Black · Nebula Blue with Galvano Grey · Stealth Black with Galvono Grey · Tango Red with Stealth Black</t>
        </is>
      </c>
      <c r="G236" s="105" t="n">
        <v>8</v>
      </c>
    </row>
    <row r="237" ht="30" customHeight="1">
      <c r="A237" s="29" t="n">
        <v>233</v>
      </c>
      <c r="B237" s="99" t="inlineStr"/>
      <c r="C237" s="49" t="inlineStr"/>
      <c r="D237" s="32" t="inlineStr">
        <is>
          <t>XUV 3XO MX1</t>
        </is>
      </c>
      <c r="E237" s="33" t="n">
        <v>0</v>
      </c>
      <c r="F237" s="34" t="inlineStr">
        <is>
          <t>—</t>
        </is>
      </c>
      <c r="G237" s="17" t="n">
        <v>0</v>
      </c>
    </row>
    <row r="238" ht="30" customHeight="1">
      <c r="A238" s="100" t="n">
        <v>234</v>
      </c>
      <c r="B238" s="99" t="inlineStr"/>
      <c r="C238" s="101" t="inlineStr"/>
      <c r="D238" s="102" t="inlineStr">
        <is>
          <t>XUV 3XO MX2</t>
        </is>
      </c>
      <c r="E238" s="103" t="n">
        <v>0</v>
      </c>
      <c r="F238" s="104" t="inlineStr">
        <is>
          <t>—</t>
        </is>
      </c>
      <c r="G238" s="105" t="n">
        <v>0</v>
      </c>
    </row>
    <row r="239" ht="30" customHeight="1">
      <c r="A239" s="29" t="n">
        <v>235</v>
      </c>
      <c r="B239" s="99" t="inlineStr"/>
      <c r="C239" s="49" t="inlineStr"/>
      <c r="D239" s="32" t="inlineStr">
        <is>
          <t>XUV 3XO MX2 Pro</t>
        </is>
      </c>
      <c r="E239" s="33" t="n">
        <v>0</v>
      </c>
      <c r="F239" s="34" t="inlineStr">
        <is>
          <t>—</t>
        </is>
      </c>
      <c r="G239" s="17" t="n">
        <v>0</v>
      </c>
    </row>
    <row r="240" ht="30" customHeight="1">
      <c r="A240" s="100" t="n">
        <v>236</v>
      </c>
      <c r="B240" s="99" t="inlineStr"/>
      <c r="C240" s="101" t="inlineStr"/>
      <c r="D240" s="102" t="inlineStr">
        <is>
          <t>XUV 3XO MX3</t>
        </is>
      </c>
      <c r="E240" s="103" t="n">
        <v>0</v>
      </c>
      <c r="F240" s="104" t="inlineStr">
        <is>
          <t>—</t>
        </is>
      </c>
      <c r="G240" s="105" t="n">
        <v>0</v>
      </c>
    </row>
    <row r="241" ht="30" customHeight="1">
      <c r="A241" s="29" t="n">
        <v>237</v>
      </c>
      <c r="B241" s="99" t="inlineStr"/>
      <c r="C241" s="49" t="inlineStr"/>
      <c r="D241" s="32" t="inlineStr">
        <is>
          <t>XUV 3XO MX3 Pro</t>
        </is>
      </c>
      <c r="E241" s="33" t="n">
        <v>0</v>
      </c>
      <c r="F241" s="34" t="inlineStr">
        <is>
          <t>—</t>
        </is>
      </c>
      <c r="G241" s="17" t="n">
        <v>0</v>
      </c>
    </row>
    <row r="242" ht="30" customHeight="1">
      <c r="A242" s="100" t="n">
        <v>238</v>
      </c>
      <c r="B242" s="99" t="inlineStr"/>
      <c r="C242" s="101" t="inlineStr"/>
      <c r="D242" s="102" t="inlineStr">
        <is>
          <t>XUV 3XO REVX A</t>
        </is>
      </c>
      <c r="E242" s="103" t="n">
        <v>0</v>
      </c>
      <c r="F242" s="104" t="inlineStr">
        <is>
          <t>—</t>
        </is>
      </c>
      <c r="G242" s="105" t="n">
        <v>0</v>
      </c>
    </row>
    <row r="243" ht="30" customHeight="1">
      <c r="A243" s="29" t="n">
        <v>239</v>
      </c>
      <c r="B243" s="99" t="inlineStr"/>
      <c r="C243" s="49" t="inlineStr"/>
      <c r="D243" s="32" t="inlineStr">
        <is>
          <t>XUV 3XO REVX M</t>
        </is>
      </c>
      <c r="E243" s="33" t="n">
        <v>0</v>
      </c>
      <c r="F243" s="34" t="inlineStr">
        <is>
          <t>—</t>
        </is>
      </c>
      <c r="G243" s="17" t="n">
        <v>0</v>
      </c>
    </row>
    <row r="244" ht="30" customHeight="1">
      <c r="A244" s="100" t="n">
        <v>240</v>
      </c>
      <c r="B244" s="99" t="inlineStr"/>
      <c r="C244" s="101" t="inlineStr"/>
      <c r="D244" s="102" t="inlineStr">
        <is>
          <t>XUV 3XO REVX M (O)</t>
        </is>
      </c>
      <c r="E244" s="103" t="n">
        <v>0</v>
      </c>
      <c r="F244" s="104" t="inlineStr">
        <is>
          <t>—</t>
        </is>
      </c>
      <c r="G244" s="105" t="n">
        <v>0</v>
      </c>
    </row>
    <row r="245" ht="30" customHeight="1">
      <c r="A245" s="29" t="n">
        <v>241</v>
      </c>
      <c r="B245" s="99" t="inlineStr"/>
      <c r="C245" s="31" t="inlineStr">
        <is>
          <t>XUV 400 EV</t>
        </is>
      </c>
      <c r="D245" s="32" t="inlineStr">
        <is>
          <t>XUV400 EC PRO</t>
        </is>
      </c>
      <c r="E245" s="33" t="n">
        <v>4</v>
      </c>
      <c r="F245" s="34" t="inlineStr">
        <is>
          <t>Arctic Blue · Everest White · Galaxy Grey · Nebula Blue</t>
        </is>
      </c>
      <c r="G245" s="17" t="n">
        <v>4</v>
      </c>
    </row>
    <row r="246" ht="30" customHeight="1">
      <c r="A246" s="100" t="n">
        <v>242</v>
      </c>
      <c r="B246" s="99" t="inlineStr"/>
      <c r="C246" s="101" t="inlineStr"/>
      <c r="D246" s="102" t="inlineStr">
        <is>
          <t>XUV400 EL PRO</t>
        </is>
      </c>
      <c r="E246" s="103" t="n">
        <v>4</v>
      </c>
      <c r="F246" s="104" t="inlineStr">
        <is>
          <t>Arctic Blue · Everest White · Galaxy Grey · Nebula Blue</t>
        </is>
      </c>
      <c r="G246" s="105" t="n">
        <v>4</v>
      </c>
    </row>
    <row r="247" ht="30" customHeight="1">
      <c r="A247" s="29" t="n">
        <v>243</v>
      </c>
      <c r="B247" s="99" t="inlineStr"/>
      <c r="C247" s="31" t="inlineStr">
        <is>
          <t>XUV 7XO</t>
        </is>
      </c>
      <c r="D247" s="32" t="inlineStr">
        <is>
          <t>XUV 7XO AX</t>
        </is>
      </c>
      <c r="E247" s="33" t="n">
        <v>5</v>
      </c>
      <c r="F247" s="34" t="inlineStr">
        <is>
          <t>Everest White · Galaxy Grey · Midnight Black · Nebula Blue · Stealth Black</t>
        </is>
      </c>
      <c r="G247" s="17" t="n">
        <v>5</v>
      </c>
    </row>
    <row r="248" ht="30" customHeight="1">
      <c r="A248" s="100" t="n">
        <v>244</v>
      </c>
      <c r="B248" s="99" t="inlineStr"/>
      <c r="C248" s="101" t="inlineStr"/>
      <c r="D248" s="102" t="inlineStr">
        <is>
          <t>XUV 7XO AX3</t>
        </is>
      </c>
      <c r="E248" s="103" t="n">
        <v>7</v>
      </c>
      <c r="F248" s="104" t="inlineStr">
        <is>
          <t>Desert Myst · Everest White · Galaxy Grey · Midnight Black · Nebula Blue · Ruby Velvet · Stealth Black</t>
        </is>
      </c>
      <c r="G248" s="105" t="n">
        <v>7</v>
      </c>
    </row>
    <row r="249" ht="30" customHeight="1">
      <c r="A249" s="29" t="n">
        <v>245</v>
      </c>
      <c r="B249" s="99" t="inlineStr"/>
      <c r="C249" s="49" t="inlineStr"/>
      <c r="D249" s="32" t="inlineStr">
        <is>
          <t>XUV 7XO AX5</t>
        </is>
      </c>
      <c r="E249" s="33" t="n">
        <v>7</v>
      </c>
      <c r="F249" s="34" t="inlineStr">
        <is>
          <t>Desert Myst · Everest White · Galaxy Grey · Midnight Black · Nebula Blue · Ruby Velvet · Stealth Black</t>
        </is>
      </c>
      <c r="G249" s="17" t="n">
        <v>7</v>
      </c>
    </row>
    <row r="250" ht="30" customHeight="1">
      <c r="A250" s="100" t="n">
        <v>246</v>
      </c>
      <c r="B250" s="99" t="inlineStr"/>
      <c r="C250" s="101" t="inlineStr"/>
      <c r="D250" s="102" t="inlineStr">
        <is>
          <t>XUV 7XO AX7</t>
        </is>
      </c>
      <c r="E250" s="103" t="n">
        <v>6</v>
      </c>
      <c r="F250" s="104" t="inlineStr">
        <is>
          <t>Desert Myst · Everest White · Galaxy Grey · Nebula Blue · Ruby Velvet · Stealth Black</t>
        </is>
      </c>
      <c r="G250" s="105" t="n">
        <v>6</v>
      </c>
    </row>
    <row r="251" ht="30" customHeight="1">
      <c r="A251" s="29" t="n">
        <v>247</v>
      </c>
      <c r="B251" s="99" t="inlineStr"/>
      <c r="C251" s="49" t="inlineStr"/>
      <c r="D251" s="32" t="inlineStr">
        <is>
          <t>XUV 7XO AX7 L</t>
        </is>
      </c>
      <c r="E251" s="33" t="n">
        <v>7</v>
      </c>
      <c r="F251" s="34" t="inlineStr">
        <is>
          <t>Desert Myst · Everest White · Galaxy Grey · Midnight Black · Nebula Blue · Ruby Velvet · Stealth Black</t>
        </is>
      </c>
      <c r="G251" s="17" t="n">
        <v>7</v>
      </c>
    </row>
    <row r="252" ht="30" customHeight="1">
      <c r="A252" s="100" t="n">
        <v>248</v>
      </c>
      <c r="B252" s="99" t="inlineStr"/>
      <c r="C252" s="101" t="inlineStr"/>
      <c r="D252" s="102" t="inlineStr">
        <is>
          <t>XUV 7XO AX7 T</t>
        </is>
      </c>
      <c r="E252" s="103" t="n">
        <v>7</v>
      </c>
      <c r="F252" s="104" t="inlineStr">
        <is>
          <t>Desert Myst · Everest White · Galaxy Grey · Midnight Black · Nebula Blue · Ruby Velvet · Stealth Black</t>
        </is>
      </c>
      <c r="G252" s="105" t="n">
        <v>7</v>
      </c>
    </row>
    <row r="253" ht="30" customHeight="1">
      <c r="A253" s="29" t="n">
        <v>249</v>
      </c>
      <c r="B253" s="107" t="inlineStr">
        <is>
          <t>Maruti Suzuki</t>
        </is>
      </c>
      <c r="C253" s="31" t="inlineStr">
        <is>
          <t>Alto K10</t>
        </is>
      </c>
      <c r="D253" s="32" t="inlineStr">
        <is>
          <t>Alto K10 LXi (O)</t>
        </is>
      </c>
      <c r="E253" s="33" t="n">
        <v>6</v>
      </c>
      <c r="F253" s="34" t="inlineStr">
        <is>
          <t>Metallic Granite Grey · Metallic Silky Silver · Metallic Sizzling Red · Metallic Speedy Blue · Premium Earth Gold · Solid White</t>
        </is>
      </c>
      <c r="G253" s="17" t="n">
        <v>6</v>
      </c>
    </row>
    <row r="254" ht="30" customHeight="1">
      <c r="A254" s="108" t="n">
        <v>250</v>
      </c>
      <c r="B254" s="107" t="inlineStr"/>
      <c r="C254" s="109" t="inlineStr"/>
      <c r="D254" s="110" t="inlineStr">
        <is>
          <t>Alto K10 STD (O)</t>
        </is>
      </c>
      <c r="E254" s="111" t="n">
        <v>6</v>
      </c>
      <c r="F254" s="112" t="inlineStr">
        <is>
          <t>Metallic Granite Grey · Metallic Silky Silver · Metallic Sizzling Red · Metallic Speedy Blue · Premium Earth Gold · Solid White</t>
        </is>
      </c>
      <c r="G254" s="113" t="n">
        <v>6</v>
      </c>
    </row>
    <row r="255" ht="30" customHeight="1">
      <c r="A255" s="29" t="n">
        <v>251</v>
      </c>
      <c r="B255" s="107" t="inlineStr"/>
      <c r="C255" s="49" t="inlineStr"/>
      <c r="D255" s="32" t="inlineStr">
        <is>
          <t>Alto K10 VXi (O)</t>
        </is>
      </c>
      <c r="E255" s="33" t="n">
        <v>7</v>
      </c>
      <c r="F255" s="34" t="inlineStr">
        <is>
          <t>Bluish Black · Metallic Granite Grey · Metallic Silky Silver · Metallic Sizzling Red · Metallic Speedy Blue · Premium Earth Gold · Solid White</t>
        </is>
      </c>
      <c r="G255" s="17" t="n">
        <v>7</v>
      </c>
    </row>
    <row r="256" ht="30" customHeight="1">
      <c r="A256" s="108" t="n">
        <v>252</v>
      </c>
      <c r="B256" s="107" t="inlineStr"/>
      <c r="C256" s="109" t="inlineStr"/>
      <c r="D256" s="110" t="inlineStr">
        <is>
          <t>Alto K10 VXi Plus (O)</t>
        </is>
      </c>
      <c r="E256" s="111" t="n">
        <v>7</v>
      </c>
      <c r="F256" s="112" t="inlineStr">
        <is>
          <t>Bluish Black · Metallic Granite Grey · Metallic Silky Silver · Metallic Sizzling Red · Metallic Speedy Blue · Premium Earth Gold · Solid White</t>
        </is>
      </c>
      <c r="G256" s="113" t="n">
        <v>7</v>
      </c>
    </row>
    <row r="257" ht="30" customHeight="1">
      <c r="A257" s="29" t="n">
        <v>253</v>
      </c>
      <c r="B257" s="107" t="inlineStr"/>
      <c r="C257" s="31" t="inlineStr">
        <is>
          <t>Baleno</t>
        </is>
      </c>
      <c r="D257" s="32" t="inlineStr">
        <is>
          <t>Baleno Alpha</t>
        </is>
      </c>
      <c r="E257" s="33" t="n">
        <v>7</v>
      </c>
      <c r="F257" s="34" t="inlineStr">
        <is>
          <t>Arctic White · Bluish Black · Grandeur Grey · Luxe Beige · Nexa Blue · Opulent Red · Splendid Silver</t>
        </is>
      </c>
      <c r="G257" s="17" t="n">
        <v>7</v>
      </c>
    </row>
    <row r="258" ht="30" customHeight="1">
      <c r="A258" s="108" t="n">
        <v>254</v>
      </c>
      <c r="B258" s="107" t="inlineStr"/>
      <c r="C258" s="109" t="inlineStr"/>
      <c r="D258" s="110" t="inlineStr">
        <is>
          <t>Baleno Delta</t>
        </is>
      </c>
      <c r="E258" s="111" t="n">
        <v>6</v>
      </c>
      <c r="F258" s="112" t="inlineStr">
        <is>
          <t>Arctic White · Grandeur Grey · Luxe Beige · Nexa Blue · Opulent Red · Splendid Silver</t>
        </is>
      </c>
      <c r="G258" s="113" t="n">
        <v>6</v>
      </c>
    </row>
    <row r="259" ht="30" customHeight="1">
      <c r="A259" s="29" t="n">
        <v>255</v>
      </c>
      <c r="B259" s="107" t="inlineStr"/>
      <c r="C259" s="49" t="inlineStr"/>
      <c r="D259" s="32" t="inlineStr">
        <is>
          <t>Baleno Sigma</t>
        </is>
      </c>
      <c r="E259" s="33" t="n">
        <v>6</v>
      </c>
      <c r="F259" s="34" t="inlineStr">
        <is>
          <t>Arctic White · Grandeur Grey · Luxe Beige · Nexa Blue · Opulent Red · Splendid Silver</t>
        </is>
      </c>
      <c r="G259" s="17" t="n">
        <v>6</v>
      </c>
    </row>
    <row r="260" ht="30" customHeight="1">
      <c r="A260" s="108" t="n">
        <v>256</v>
      </c>
      <c r="B260" s="107" t="inlineStr"/>
      <c r="C260" s="109" t="inlineStr"/>
      <c r="D260" s="110" t="inlineStr">
        <is>
          <t>Baleno Zeta</t>
        </is>
      </c>
      <c r="E260" s="111" t="n">
        <v>7</v>
      </c>
      <c r="F260" s="112" t="inlineStr">
        <is>
          <t>Arctic White · Bluish Black · Grandeur Grey · Luxe Beige · Nexa Blue · Opulent Red · Splendid Silver</t>
        </is>
      </c>
      <c r="G260" s="113" t="n">
        <v>7</v>
      </c>
    </row>
    <row r="261" ht="30" customHeight="1">
      <c r="A261" s="29" t="n">
        <v>257</v>
      </c>
      <c r="B261" s="107" t="inlineStr"/>
      <c r="C261" s="31" t="inlineStr">
        <is>
          <t>Brezza</t>
        </is>
      </c>
      <c r="D261" s="32" t="inlineStr">
        <is>
          <t>Brezza LXi</t>
        </is>
      </c>
      <c r="E261" s="33" t="n">
        <v>5</v>
      </c>
      <c r="F261" s="34" t="inlineStr">
        <is>
          <t>Exuberant blue · Magma Grey · Pearl Arctic White · Sizzling Red · Splendid Silver</t>
        </is>
      </c>
      <c r="G261" s="17" t="n">
        <v>5</v>
      </c>
    </row>
    <row r="262" ht="30" customHeight="1">
      <c r="A262" s="108" t="n">
        <v>258</v>
      </c>
      <c r="B262" s="107" t="inlineStr"/>
      <c r="C262" s="109" t="inlineStr"/>
      <c r="D262" s="110" t="inlineStr">
        <is>
          <t>Brezza VXi</t>
        </is>
      </c>
      <c r="E262" s="111" t="n">
        <v>7</v>
      </c>
      <c r="F262" s="112" t="inlineStr">
        <is>
          <t>Bluish Black · Brave Khaki · Exuberant blue · Magma Grey · Pearl Arctic White · Sizzling Red · Splendid Silver</t>
        </is>
      </c>
      <c r="G262" s="113" t="n">
        <v>7</v>
      </c>
    </row>
    <row r="263" ht="30" customHeight="1">
      <c r="A263" s="29" t="n">
        <v>259</v>
      </c>
      <c r="B263" s="107" t="inlineStr"/>
      <c r="C263" s="49" t="inlineStr"/>
      <c r="D263" s="32" t="inlineStr">
        <is>
          <t>Brezza ZXi</t>
        </is>
      </c>
      <c r="E263" s="33" t="n">
        <v>5</v>
      </c>
      <c r="F263" s="34" t="inlineStr">
        <is>
          <t>Bluish Black · Exuberant blue · Magma Grey · Pearl Arctic White · Splendid Silver</t>
        </is>
      </c>
      <c r="G263" s="17" t="n">
        <v>5</v>
      </c>
    </row>
    <row r="264" ht="30" customHeight="1">
      <c r="A264" s="108" t="n">
        <v>260</v>
      </c>
      <c r="B264" s="107" t="inlineStr"/>
      <c r="C264" s="109" t="inlineStr"/>
      <c r="D264" s="110" t="inlineStr">
        <is>
          <t>Brezza Zxi Plus</t>
        </is>
      </c>
      <c r="E264" s="111" t="n">
        <v>5</v>
      </c>
      <c r="F264" s="112" t="inlineStr">
        <is>
          <t>Bluish Black · Exuberant blue · Magma Grey · Pearl Arctic White · Splendid Silver</t>
        </is>
      </c>
      <c r="G264" s="113" t="n">
        <v>5</v>
      </c>
    </row>
    <row r="265" ht="30" customHeight="1">
      <c r="A265" s="29" t="n">
        <v>261</v>
      </c>
      <c r="B265" s="107" t="inlineStr"/>
      <c r="C265" s="31" t="inlineStr">
        <is>
          <t>Celerio</t>
        </is>
      </c>
      <c r="D265" s="32" t="inlineStr">
        <is>
          <t>Celerio LXi</t>
        </is>
      </c>
      <c r="E265" s="33" t="n">
        <v>6</v>
      </c>
      <c r="F265" s="34" t="inlineStr">
        <is>
          <t>Metallic Glistening Grey · Metallic Silky Silver · Metallic Speedy Blue · Pearl Arctic White · Pearl Caffeine Brown · Solid Fire Red</t>
        </is>
      </c>
      <c r="G265" s="17" t="n">
        <v>6</v>
      </c>
    </row>
    <row r="266" ht="30" customHeight="1">
      <c r="A266" s="108" t="n">
        <v>262</v>
      </c>
      <c r="B266" s="107" t="inlineStr"/>
      <c r="C266" s="109" t="inlineStr"/>
      <c r="D266" s="110" t="inlineStr">
        <is>
          <t>Celerio VXi</t>
        </is>
      </c>
      <c r="E266" s="111" t="n">
        <v>7</v>
      </c>
      <c r="F266" s="112" t="inlineStr">
        <is>
          <t>Metallic Glistening Grey · Metallic Silky Silver · Metallic Speedy Blue · Pearl Arctic White · Pearl Bluish Black · Pearl Caffeine Brown · Solid Fire Red</t>
        </is>
      </c>
      <c r="G266" s="113" t="n">
        <v>7</v>
      </c>
    </row>
    <row r="267" ht="30" customHeight="1">
      <c r="A267" s="29" t="n">
        <v>263</v>
      </c>
      <c r="B267" s="107" t="inlineStr"/>
      <c r="C267" s="49" t="inlineStr"/>
      <c r="D267" s="32" t="inlineStr">
        <is>
          <t>Celerio ZXi</t>
        </is>
      </c>
      <c r="E267" s="33" t="n">
        <v>7</v>
      </c>
      <c r="F267" s="34" t="inlineStr">
        <is>
          <t>Metallic Glistening Grey · Metallic Silky Silver · Metallic Speedy Blue · Pearl Arctic White · Pearl Bluish Black · Pearl Caffeine Brown · Solid Fire Red</t>
        </is>
      </c>
      <c r="G267" s="17" t="n">
        <v>7</v>
      </c>
    </row>
    <row r="268" ht="30" customHeight="1">
      <c r="A268" s="108" t="n">
        <v>264</v>
      </c>
      <c r="B268" s="107" t="inlineStr"/>
      <c r="C268" s="109" t="inlineStr"/>
      <c r="D268" s="110" t="inlineStr">
        <is>
          <t>Celerio ZXi Plus</t>
        </is>
      </c>
      <c r="E268" s="111" t="n">
        <v>7</v>
      </c>
      <c r="F268" s="112" t="inlineStr">
        <is>
          <t>Metallic Glistening Grey · Metallic Silky Silver · Metallic Speedy Blue · Pearl Arctic White · Pearl Bluish Black · Pearl Caffeine Brown · Solid Fire Red</t>
        </is>
      </c>
      <c r="G268" s="113" t="n">
        <v>7</v>
      </c>
    </row>
    <row r="269" ht="30" customHeight="1">
      <c r="A269" s="29" t="n">
        <v>265</v>
      </c>
      <c r="B269" s="107" t="inlineStr"/>
      <c r="C269" s="31" t="inlineStr">
        <is>
          <t>Ciaz</t>
        </is>
      </c>
      <c r="D269" s="32" t="inlineStr">
        <is>
          <t>Ciaz Alpha</t>
        </is>
      </c>
      <c r="E269" s="33" t="n">
        <v>4</v>
      </c>
      <c r="F269" s="34" t="inlineStr">
        <is>
          <t>Bluish Black · Pearl Arctic White · Prme. Celestial Blue · Prme. Splendid Silver</t>
        </is>
      </c>
      <c r="G269" s="17" t="n">
        <v>4</v>
      </c>
    </row>
    <row r="270" ht="30" customHeight="1">
      <c r="A270" s="108" t="n">
        <v>266</v>
      </c>
      <c r="B270" s="107" t="inlineStr"/>
      <c r="C270" s="109" t="inlineStr"/>
      <c r="D270" s="110" t="inlineStr">
        <is>
          <t>Ciaz Delta</t>
        </is>
      </c>
      <c r="E270" s="111" t="n">
        <v>6</v>
      </c>
      <c r="F270" s="112" t="inlineStr">
        <is>
          <t>Bluish Black · Pearl Arctic White · Prme. Celestial Blue · Prme. Dignity Brown · Prme. Opulent Red · Prme. Splendid Silver</t>
        </is>
      </c>
      <c r="G270" s="113" t="n">
        <v>6</v>
      </c>
    </row>
    <row r="271" ht="30" customHeight="1">
      <c r="A271" s="29" t="n">
        <v>267</v>
      </c>
      <c r="B271" s="107" t="inlineStr"/>
      <c r="C271" s="49" t="inlineStr"/>
      <c r="D271" s="32" t="inlineStr">
        <is>
          <t>Ciaz Sigma</t>
        </is>
      </c>
      <c r="E271" s="33" t="n">
        <v>6</v>
      </c>
      <c r="F271" s="34" t="inlineStr">
        <is>
          <t>Bluish Black · Pearl Arctic White · Prme. Celestial Blue · Prme. Dignity Brown · Prme. Opulent Red · Prme. Splendid Silver</t>
        </is>
      </c>
      <c r="G271" s="17" t="n">
        <v>6</v>
      </c>
    </row>
    <row r="272" ht="30" customHeight="1">
      <c r="A272" s="108" t="n">
        <v>268</v>
      </c>
      <c r="B272" s="107" t="inlineStr"/>
      <c r="C272" s="109" t="inlineStr"/>
      <c r="D272" s="110" t="inlineStr">
        <is>
          <t>Ciaz Zeta</t>
        </is>
      </c>
      <c r="E272" s="111" t="n">
        <v>6</v>
      </c>
      <c r="F272" s="112" t="inlineStr">
        <is>
          <t>Bluish Black · Pearl Arctic White · Prme. Celestial Blue · Prme. Dignity Brown · Prme. Opulent Red · Prme. Splendid Silver</t>
        </is>
      </c>
      <c r="G272" s="113" t="n">
        <v>6</v>
      </c>
    </row>
    <row r="273" ht="30" customHeight="1">
      <c r="A273" s="29" t="n">
        <v>269</v>
      </c>
      <c r="B273" s="107" t="inlineStr"/>
      <c r="C273" s="31" t="inlineStr">
        <is>
          <t>Dzire</t>
        </is>
      </c>
      <c r="D273" s="32" t="inlineStr">
        <is>
          <t>Dzire LXi</t>
        </is>
      </c>
      <c r="E273" s="33" t="n">
        <v>7</v>
      </c>
      <c r="F273" s="34" t="inlineStr">
        <is>
          <t>Alluring Blue · Arctic White · Bluish Black · Gallant Red · Magma Grey · Nutmeg Brown · Splendid Silver</t>
        </is>
      </c>
      <c r="G273" s="17" t="n">
        <v>7</v>
      </c>
    </row>
    <row r="274" ht="30" customHeight="1">
      <c r="A274" s="108" t="n">
        <v>270</v>
      </c>
      <c r="B274" s="107" t="inlineStr"/>
      <c r="C274" s="109" t="inlineStr"/>
      <c r="D274" s="110" t="inlineStr">
        <is>
          <t>Dzire VXi</t>
        </is>
      </c>
      <c r="E274" s="111" t="n">
        <v>7</v>
      </c>
      <c r="F274" s="112" t="inlineStr">
        <is>
          <t>Alluring Blue · Arctic White · Bluish Black · Gallant Red · Magma Grey · Nutmeg Brown · Splendid Silver</t>
        </is>
      </c>
      <c r="G274" s="113" t="n">
        <v>7</v>
      </c>
    </row>
    <row r="275" ht="30" customHeight="1">
      <c r="A275" s="29" t="n">
        <v>271</v>
      </c>
      <c r="B275" s="107" t="inlineStr"/>
      <c r="C275" s="49" t="inlineStr"/>
      <c r="D275" s="32" t="inlineStr">
        <is>
          <t>Dzire ZXi</t>
        </is>
      </c>
      <c r="E275" s="33" t="n">
        <v>7</v>
      </c>
      <c r="F275" s="34" t="inlineStr">
        <is>
          <t>Alluring Blue · Arctic White · Bluish Black · Gallant Red · Magma Grey · Nutmeg Brown · Splendid Silver</t>
        </is>
      </c>
      <c r="G275" s="17" t="n">
        <v>7</v>
      </c>
    </row>
    <row r="276" ht="30" customHeight="1">
      <c r="A276" s="108" t="n">
        <v>272</v>
      </c>
      <c r="B276" s="107" t="inlineStr"/>
      <c r="C276" s="109" t="inlineStr"/>
      <c r="D276" s="110" t="inlineStr">
        <is>
          <t>Dzire ZXi Plus</t>
        </is>
      </c>
      <c r="E276" s="111" t="n">
        <v>7</v>
      </c>
      <c r="F276" s="112" t="inlineStr">
        <is>
          <t>Alluring Blue · Arctic White · Bluish Black · Gallant Red · Magma Grey · Nutmeg Brown · Splendid Silver</t>
        </is>
      </c>
      <c r="G276" s="113" t="n">
        <v>7</v>
      </c>
    </row>
    <row r="277" ht="30" customHeight="1">
      <c r="A277" s="29" t="n">
        <v>273</v>
      </c>
      <c r="B277" s="107" t="inlineStr"/>
      <c r="C277" s="31" t="inlineStr">
        <is>
          <t>Eeco</t>
        </is>
      </c>
      <c r="D277" s="32" t="inlineStr">
        <is>
          <t>Eeco AC (O)</t>
        </is>
      </c>
      <c r="E277" s="33" t="n">
        <v>4</v>
      </c>
      <c r="F277" s="34" t="inlineStr">
        <is>
          <t>Bluish Black · Metallic Brisk Blue · Metallic Silky Silver · Solid White</t>
        </is>
      </c>
      <c r="G277" s="17" t="n">
        <v>4</v>
      </c>
    </row>
    <row r="278" ht="30" customHeight="1">
      <c r="A278" s="108" t="n">
        <v>274</v>
      </c>
      <c r="B278" s="107" t="inlineStr"/>
      <c r="C278" s="109" t="inlineStr"/>
      <c r="D278" s="110" t="inlineStr">
        <is>
          <t>Eeco STD (O)</t>
        </is>
      </c>
      <c r="E278" s="111" t="n">
        <v>4</v>
      </c>
      <c r="F278" s="112" t="inlineStr">
        <is>
          <t>Bluish Black · Metallic Brisk Blue · Metallic Silky Silver · Solid White</t>
        </is>
      </c>
      <c r="G278" s="113" t="n">
        <v>4</v>
      </c>
    </row>
    <row r="279" ht="30" customHeight="1">
      <c r="A279" s="29" t="n">
        <v>275</v>
      </c>
      <c r="B279" s="107" t="inlineStr"/>
      <c r="C279" s="31" t="inlineStr">
        <is>
          <t>Ertiga</t>
        </is>
      </c>
      <c r="D279" s="32" t="inlineStr">
        <is>
          <t>Ertiga Lxi</t>
        </is>
      </c>
      <c r="E279" s="33" t="n">
        <v>6</v>
      </c>
      <c r="F279" s="34" t="inlineStr">
        <is>
          <t>Arctic White · Auburn Red · Magma Grey · Pearl Metallic Dignity Brown · Prime Oxford Blue · Splendid Silver</t>
        </is>
      </c>
      <c r="G279" s="17" t="n">
        <v>6</v>
      </c>
    </row>
    <row r="280" ht="30" customHeight="1">
      <c r="A280" s="108" t="n">
        <v>276</v>
      </c>
      <c r="B280" s="107" t="inlineStr"/>
      <c r="C280" s="109" t="inlineStr"/>
      <c r="D280" s="110" t="inlineStr">
        <is>
          <t>Ertiga VXi</t>
        </is>
      </c>
      <c r="E280" s="111" t="n">
        <v>7</v>
      </c>
      <c r="F280" s="112" t="inlineStr">
        <is>
          <t>Arctic White · Auburn Red · Bluish Black · Magma Grey · Pearl Metallic Dignity Brown · Prime Oxford Blue · Splendid Silver</t>
        </is>
      </c>
      <c r="G280" s="113" t="n">
        <v>7</v>
      </c>
    </row>
    <row r="281" ht="30" customHeight="1">
      <c r="A281" s="29" t="n">
        <v>277</v>
      </c>
      <c r="B281" s="107" t="inlineStr"/>
      <c r="C281" s="49" t="inlineStr"/>
      <c r="D281" s="32" t="inlineStr">
        <is>
          <t>Ertiga ZXi</t>
        </is>
      </c>
      <c r="E281" s="33" t="n">
        <v>6</v>
      </c>
      <c r="F281" s="34" t="inlineStr">
        <is>
          <t>Arctic White · Auburn Red · Magma Grey · Pearl Metallic Dignity Brown · Prime Oxford Blue · Splendid Silver</t>
        </is>
      </c>
      <c r="G281" s="17" t="n">
        <v>6</v>
      </c>
    </row>
    <row r="282" ht="30" customHeight="1">
      <c r="A282" s="108" t="n">
        <v>278</v>
      </c>
      <c r="B282" s="107" t="inlineStr"/>
      <c r="C282" s="109" t="inlineStr"/>
      <c r="D282" s="110" t="inlineStr">
        <is>
          <t>Ertiga ZXi Plus</t>
        </is>
      </c>
      <c r="E282" s="111" t="n">
        <v>6</v>
      </c>
      <c r="F282" s="112" t="inlineStr">
        <is>
          <t>Arctic White · Auburn Red · Magma Grey · Pearl Metallic Dignity Brown · Prime Oxford Blue · Splendid Silver</t>
        </is>
      </c>
      <c r="G282" s="113" t="n">
        <v>6</v>
      </c>
    </row>
    <row r="283" ht="30" customHeight="1">
      <c r="A283" s="29" t="n">
        <v>279</v>
      </c>
      <c r="B283" s="107" t="inlineStr"/>
      <c r="C283" s="31" t="inlineStr">
        <is>
          <t>Fronx</t>
        </is>
      </c>
      <c r="D283" s="32" t="inlineStr">
        <is>
          <t>Fronx Alpha</t>
        </is>
      </c>
      <c r="E283" s="33" t="n">
        <v>6</v>
      </c>
      <c r="F283" s="34" t="inlineStr">
        <is>
          <t>Arctic White · Earthen Brown · Grandeur Grey · Nexa Blue (Celestial) · Opulent Red · Splendid Silver</t>
        </is>
      </c>
      <c r="G283" s="17" t="n">
        <v>6</v>
      </c>
    </row>
    <row r="284" ht="30" customHeight="1">
      <c r="A284" s="108" t="n">
        <v>280</v>
      </c>
      <c r="B284" s="107" t="inlineStr"/>
      <c r="C284" s="109" t="inlineStr"/>
      <c r="D284" s="110" t="inlineStr">
        <is>
          <t>Fronx Delta</t>
        </is>
      </c>
      <c r="E284" s="111" t="n">
        <v>6</v>
      </c>
      <c r="F284" s="112" t="inlineStr">
        <is>
          <t>Arctic White · Earthen Brown · Grandeur Grey · Nexa Blue (Celestial) · Opulent Red · Splendid Silver</t>
        </is>
      </c>
      <c r="G284" s="113" t="n">
        <v>6</v>
      </c>
    </row>
    <row r="285" ht="30" customHeight="1">
      <c r="A285" s="29" t="n">
        <v>281</v>
      </c>
      <c r="B285" s="107" t="inlineStr"/>
      <c r="C285" s="49" t="inlineStr"/>
      <c r="D285" s="32" t="inlineStr">
        <is>
          <t>Fronx Delta Plus</t>
        </is>
      </c>
      <c r="E285" s="33" t="n">
        <v>6</v>
      </c>
      <c r="F285" s="34" t="inlineStr">
        <is>
          <t>Arctic White · Earthen Brown · Grandeur Grey · Nexa Blue (Celestial) · Opulent Red · Splendid Silver</t>
        </is>
      </c>
      <c r="G285" s="17" t="n">
        <v>6</v>
      </c>
    </row>
    <row r="286" ht="30" customHeight="1">
      <c r="A286" s="108" t="n">
        <v>282</v>
      </c>
      <c r="B286" s="107" t="inlineStr"/>
      <c r="C286" s="109" t="inlineStr"/>
      <c r="D286" s="110" t="inlineStr">
        <is>
          <t>Fronx Sigma</t>
        </is>
      </c>
      <c r="E286" s="111" t="n">
        <v>6</v>
      </c>
      <c r="F286" s="112" t="inlineStr">
        <is>
          <t>Arctic White · Earthen Brown · Grandeur Grey · Nexa Blue (Celestial) · Opulent Red · Splendid Silver</t>
        </is>
      </c>
      <c r="G286" s="113" t="n">
        <v>6</v>
      </c>
    </row>
    <row r="287" ht="30" customHeight="1">
      <c r="A287" s="29" t="n">
        <v>283</v>
      </c>
      <c r="B287" s="107" t="inlineStr"/>
      <c r="C287" s="49" t="inlineStr"/>
      <c r="D287" s="32" t="inlineStr">
        <is>
          <t>Fronx Zeta</t>
        </is>
      </c>
      <c r="E287" s="33" t="n">
        <v>6</v>
      </c>
      <c r="F287" s="34" t="inlineStr">
        <is>
          <t>Arctic White · Earthen Brown · Grandeur Grey · Nexa Blue (Celestial) · Opulent Red · Splendid Silver</t>
        </is>
      </c>
      <c r="G287" s="17" t="n">
        <v>6</v>
      </c>
    </row>
    <row r="288" ht="30" customHeight="1">
      <c r="A288" s="108" t="n">
        <v>284</v>
      </c>
      <c r="B288" s="107" t="inlineStr"/>
      <c r="C288" s="114" t="inlineStr">
        <is>
          <t>Grand Vitara</t>
        </is>
      </c>
      <c r="D288" s="110" t="inlineStr">
        <is>
          <t>Grand Vitara Alpha</t>
        </is>
      </c>
      <c r="E288" s="111" t="n">
        <v>7</v>
      </c>
      <c r="F288" s="112" t="inlineStr">
        <is>
          <t>Arctic White · Chestnut Brown · Grandeur Grey · Midnight Black · Nexa Blue · Opulent Red · Splendid Silver</t>
        </is>
      </c>
      <c r="G288" s="113" t="n">
        <v>7</v>
      </c>
    </row>
    <row r="289" ht="30" customHeight="1">
      <c r="A289" s="29" t="n">
        <v>285</v>
      </c>
      <c r="B289" s="107" t="inlineStr"/>
      <c r="C289" s="49" t="inlineStr"/>
      <c r="D289" s="32" t="inlineStr">
        <is>
          <t>Grand Vitara Alpha (O)</t>
        </is>
      </c>
      <c r="E289" s="33" t="n">
        <v>7</v>
      </c>
      <c r="F289" s="34" t="inlineStr">
        <is>
          <t>Arctic White · Chestnut Brown · Grandeur Grey · Midnight Black · Nexa Blue · Opulent Red · Splendid Silver</t>
        </is>
      </c>
      <c r="G289" s="17" t="n">
        <v>7</v>
      </c>
    </row>
    <row r="290" ht="30" customHeight="1">
      <c r="A290" s="108" t="n">
        <v>286</v>
      </c>
      <c r="B290" s="107" t="inlineStr"/>
      <c r="C290" s="109" t="inlineStr"/>
      <c r="D290" s="110" t="inlineStr">
        <is>
          <t>Grand Vitara Alpha Plus</t>
        </is>
      </c>
      <c r="E290" s="111" t="n">
        <v>7</v>
      </c>
      <c r="F290" s="112" t="inlineStr">
        <is>
          <t>Arctic White · Chestnut Brown · Grandeur Grey · Midnight Black · Nexa Blue · Opulent Red · Splendid Silver</t>
        </is>
      </c>
      <c r="G290" s="113" t="n">
        <v>7</v>
      </c>
    </row>
    <row r="291" ht="30" customHeight="1">
      <c r="A291" s="29" t="n">
        <v>287</v>
      </c>
      <c r="B291" s="107" t="inlineStr"/>
      <c r="C291" s="49" t="inlineStr"/>
      <c r="D291" s="32" t="inlineStr">
        <is>
          <t>Grand Vitara Alpha Plus (O)</t>
        </is>
      </c>
      <c r="E291" s="33" t="n">
        <v>7</v>
      </c>
      <c r="F291" s="34" t="inlineStr">
        <is>
          <t>Arctic White · Chestnut Brown · Grandeur Grey · Midnight Black · Nexa Blue · Opulent Red · Splendid Silver</t>
        </is>
      </c>
      <c r="G291" s="17" t="n">
        <v>7</v>
      </c>
    </row>
    <row r="292" ht="30" customHeight="1">
      <c r="A292" s="108" t="n">
        <v>288</v>
      </c>
      <c r="B292" s="107" t="inlineStr"/>
      <c r="C292" s="109" t="inlineStr"/>
      <c r="D292" s="110" t="inlineStr">
        <is>
          <t>Grand Vitara Delta</t>
        </is>
      </c>
      <c r="E292" s="111" t="n">
        <v>6</v>
      </c>
      <c r="F292" s="112" t="inlineStr">
        <is>
          <t>Arctic White · Chestnut Brown · Grandeur Grey · Nexa Blue · Opulent Red · Splendid Silver</t>
        </is>
      </c>
      <c r="G292" s="113" t="n">
        <v>6</v>
      </c>
    </row>
    <row r="293" ht="30" customHeight="1">
      <c r="A293" s="29" t="n">
        <v>289</v>
      </c>
      <c r="B293" s="107" t="inlineStr"/>
      <c r="C293" s="49" t="inlineStr"/>
      <c r="D293" s="32" t="inlineStr">
        <is>
          <t>Grand Vitara Delta Plus</t>
        </is>
      </c>
      <c r="E293" s="33" t="n">
        <v>6</v>
      </c>
      <c r="F293" s="34" t="inlineStr">
        <is>
          <t>Arctic White · Chestnut Brown · Grandeur Grey · Nexa Blue · Opulent Red · Splendid Silver</t>
        </is>
      </c>
      <c r="G293" s="17" t="n">
        <v>6</v>
      </c>
    </row>
    <row r="294" ht="30" customHeight="1">
      <c r="A294" s="108" t="n">
        <v>290</v>
      </c>
      <c r="B294" s="107" t="inlineStr"/>
      <c r="C294" s="109" t="inlineStr"/>
      <c r="D294" s="110" t="inlineStr">
        <is>
          <t>Grand Vitara Sigma</t>
        </is>
      </c>
      <c r="E294" s="111" t="n">
        <v>1</v>
      </c>
      <c r="F294" s="112" t="inlineStr">
        <is>
          <t>Arctic White</t>
        </is>
      </c>
      <c r="G294" s="113" t="n">
        <v>1</v>
      </c>
    </row>
    <row r="295" ht="30" customHeight="1">
      <c r="A295" s="29" t="n">
        <v>291</v>
      </c>
      <c r="B295" s="107" t="inlineStr"/>
      <c r="C295" s="49" t="inlineStr"/>
      <c r="D295" s="32" t="inlineStr">
        <is>
          <t>Grand Vitara Zeta</t>
        </is>
      </c>
      <c r="E295" s="33" t="n">
        <v>6</v>
      </c>
      <c r="F295" s="34" t="inlineStr">
        <is>
          <t>Arctic White · Chestnut Brown · Grandeur Grey · Nexa Blue · Opulent Red · Splendid Silver</t>
        </is>
      </c>
      <c r="G295" s="17" t="n">
        <v>6</v>
      </c>
    </row>
    <row r="296" ht="30" customHeight="1">
      <c r="A296" s="108" t="n">
        <v>292</v>
      </c>
      <c r="B296" s="107" t="inlineStr"/>
      <c r="C296" s="109" t="inlineStr"/>
      <c r="D296" s="110" t="inlineStr">
        <is>
          <t>Grand Vitara Zeta (O)</t>
        </is>
      </c>
      <c r="E296" s="111" t="n">
        <v>6</v>
      </c>
      <c r="F296" s="112" t="inlineStr">
        <is>
          <t>Arctic White · Chestnut Brown · Grandeur Grey · Nexa Blue · Opulent Red · Splendid Silver</t>
        </is>
      </c>
      <c r="G296" s="113" t="n">
        <v>6</v>
      </c>
    </row>
    <row r="297" ht="30" customHeight="1">
      <c r="A297" s="29" t="n">
        <v>293</v>
      </c>
      <c r="B297" s="107" t="inlineStr"/>
      <c r="C297" s="49" t="inlineStr"/>
      <c r="D297" s="32" t="inlineStr">
        <is>
          <t>Grand Vitara Zeta Plus</t>
        </is>
      </c>
      <c r="E297" s="33" t="n">
        <v>7</v>
      </c>
      <c r="F297" s="34" t="inlineStr">
        <is>
          <t>Arctic White · Chestnut Brown · Grandeur Grey · Midnight Black · Nexa Blue · Opulent Red · Splendid Silver</t>
        </is>
      </c>
      <c r="G297" s="17" t="n">
        <v>7</v>
      </c>
    </row>
    <row r="298" ht="30" customHeight="1">
      <c r="A298" s="108" t="n">
        <v>294</v>
      </c>
      <c r="B298" s="107" t="inlineStr"/>
      <c r="C298" s="109" t="inlineStr"/>
      <c r="D298" s="110" t="inlineStr">
        <is>
          <t>Grand Vitara Zeta Plus (O)</t>
        </is>
      </c>
      <c r="E298" s="111" t="n">
        <v>7</v>
      </c>
      <c r="F298" s="112" t="inlineStr">
        <is>
          <t>Arctic White · Chestnut Brown · Grandeur Grey · Midnight Black · Nexa Blue · Opulent Red · Splendid Silver</t>
        </is>
      </c>
      <c r="G298" s="113" t="n">
        <v>7</v>
      </c>
    </row>
    <row r="299" ht="30" customHeight="1">
      <c r="A299" s="29" t="n">
        <v>295</v>
      </c>
      <c r="B299" s="107" t="inlineStr"/>
      <c r="C299" s="31" t="inlineStr">
        <is>
          <t>Ignis</t>
        </is>
      </c>
      <c r="D299" s="32" t="inlineStr">
        <is>
          <t>Ignis Alpha</t>
        </is>
      </c>
      <c r="E299" s="33" t="n">
        <v>6</v>
      </c>
      <c r="F299" s="34" t="inlineStr">
        <is>
          <t>Glistening Grey · Lucent Orange · Nexa Blue · Pearl Arctic White · Silky Silver · Turquoise Blue</t>
        </is>
      </c>
      <c r="G299" s="17" t="n">
        <v>6</v>
      </c>
    </row>
    <row r="300" ht="30" customHeight="1">
      <c r="A300" s="108" t="n">
        <v>296</v>
      </c>
      <c r="B300" s="107" t="inlineStr"/>
      <c r="C300" s="109" t="inlineStr"/>
      <c r="D300" s="110" t="inlineStr">
        <is>
          <t>Ignis Delta</t>
        </is>
      </c>
      <c r="E300" s="111" t="n">
        <v>6</v>
      </c>
      <c r="F300" s="112" t="inlineStr">
        <is>
          <t>Glistening Grey · Lucent Orange · Nexa Blue · Pearl Arctic White · Silky Silver · Turquoise Blue</t>
        </is>
      </c>
      <c r="G300" s="113" t="n">
        <v>6</v>
      </c>
    </row>
    <row r="301" ht="30" customHeight="1">
      <c r="A301" s="29" t="n">
        <v>297</v>
      </c>
      <c r="B301" s="107" t="inlineStr"/>
      <c r="C301" s="49" t="inlineStr"/>
      <c r="D301" s="32" t="inlineStr">
        <is>
          <t>Ignis Sigma</t>
        </is>
      </c>
      <c r="E301" s="33" t="n">
        <v>6</v>
      </c>
      <c r="F301" s="34" t="inlineStr">
        <is>
          <t>Glistening Grey · Lucent Orange · Nexa Blue · Pearl Arctic White · Silky Silver · Turquoise Blue</t>
        </is>
      </c>
      <c r="G301" s="17" t="n">
        <v>6</v>
      </c>
    </row>
    <row r="302" ht="30" customHeight="1">
      <c r="A302" s="108" t="n">
        <v>298</v>
      </c>
      <c r="B302" s="107" t="inlineStr"/>
      <c r="C302" s="109" t="inlineStr"/>
      <c r="D302" s="110" t="inlineStr">
        <is>
          <t>Ignis Zeta</t>
        </is>
      </c>
      <c r="E302" s="111" t="n">
        <v>6</v>
      </c>
      <c r="F302" s="112" t="inlineStr">
        <is>
          <t>Glistening Grey · Lucent Orange · Nexa Blue · Pearl Arctic White · Silky Silver · Turquoise Blue</t>
        </is>
      </c>
      <c r="G302" s="113" t="n">
        <v>6</v>
      </c>
    </row>
    <row r="303" ht="30" customHeight="1">
      <c r="A303" s="29" t="n">
        <v>299</v>
      </c>
      <c r="B303" s="107" t="inlineStr"/>
      <c r="C303" s="31" t="inlineStr">
        <is>
          <t>Invicto</t>
        </is>
      </c>
      <c r="D303" s="32" t="inlineStr">
        <is>
          <t>Invicto Alpha Plus</t>
        </is>
      </c>
      <c r="E303" s="33" t="n">
        <v>4</v>
      </c>
      <c r="F303" s="34" t="inlineStr">
        <is>
          <t>Majestic Silver · Mystic White · Nexa Blue (Celestial) · Stellar Bronze</t>
        </is>
      </c>
      <c r="G303" s="17" t="n">
        <v>4</v>
      </c>
    </row>
    <row r="304" ht="30" customHeight="1">
      <c r="A304" s="108" t="n">
        <v>300</v>
      </c>
      <c r="B304" s="107" t="inlineStr"/>
      <c r="C304" s="109" t="inlineStr"/>
      <c r="D304" s="110" t="inlineStr">
        <is>
          <t>Invicto Zeta Plus</t>
        </is>
      </c>
      <c r="E304" s="111" t="n">
        <v>4</v>
      </c>
      <c r="F304" s="112" t="inlineStr">
        <is>
          <t>Majestic Silver · Mystic White · Nexa Blue (Celestial) · Stellar Bronze</t>
        </is>
      </c>
      <c r="G304" s="113" t="n">
        <v>4</v>
      </c>
    </row>
    <row r="305" ht="30" customHeight="1">
      <c r="A305" s="29" t="n">
        <v>301</v>
      </c>
      <c r="B305" s="107" t="inlineStr"/>
      <c r="C305" s="31" t="inlineStr">
        <is>
          <t>Jimmy</t>
        </is>
      </c>
      <c r="D305" s="32" t="inlineStr">
        <is>
          <t>Jimny Alpha</t>
        </is>
      </c>
      <c r="E305" s="33" t="n">
        <v>4</v>
      </c>
      <c r="F305" s="34" t="inlineStr">
        <is>
          <t>Bluish Black · Nexa Blue · Pearl Arctic White · Sizzling Red</t>
        </is>
      </c>
      <c r="G305" s="17" t="n">
        <v>4</v>
      </c>
    </row>
    <row r="306" ht="30" customHeight="1">
      <c r="A306" s="108" t="n">
        <v>302</v>
      </c>
      <c r="B306" s="107" t="inlineStr"/>
      <c r="C306" s="109" t="inlineStr"/>
      <c r="D306" s="110" t="inlineStr">
        <is>
          <t>Jimny Zeta</t>
        </is>
      </c>
      <c r="E306" s="111" t="n">
        <v>5</v>
      </c>
      <c r="F306" s="112" t="inlineStr">
        <is>
          <t>Bluish Black · Granite Gray · Nexa Blue · Pearl Arctic White · Sizzling Red</t>
        </is>
      </c>
      <c r="G306" s="113" t="n">
        <v>5</v>
      </c>
    </row>
    <row r="307" ht="30" customHeight="1">
      <c r="A307" s="29" t="n">
        <v>303</v>
      </c>
      <c r="B307" s="107" t="inlineStr"/>
      <c r="C307" s="31" t="inlineStr">
        <is>
          <t>S-Cross</t>
        </is>
      </c>
      <c r="D307" s="32" t="inlineStr">
        <is>
          <t>S-Cross 2020 Alpha</t>
        </is>
      </c>
      <c r="E307" s="33" t="n">
        <v>5</v>
      </c>
      <c r="F307" s="34" t="inlineStr">
        <is>
          <t>Caffeine Brown · Granite Grey · Nexa Blue · Pearl Arctic White · Premium Silver</t>
        </is>
      </c>
      <c r="G307" s="17" t="n">
        <v>5</v>
      </c>
    </row>
    <row r="308" ht="30" customHeight="1">
      <c r="A308" s="108" t="n">
        <v>304</v>
      </c>
      <c r="B308" s="107" t="inlineStr"/>
      <c r="C308" s="109" t="inlineStr"/>
      <c r="D308" s="110" t="inlineStr">
        <is>
          <t>S-Cross 2020 Delta</t>
        </is>
      </c>
      <c r="E308" s="111" t="n">
        <v>5</v>
      </c>
      <c r="F308" s="112" t="inlineStr">
        <is>
          <t>Caffeine Brown · Granite Grey · Nexa Blue · Pearl Arctic White · Premium Silver</t>
        </is>
      </c>
      <c r="G308" s="113" t="n">
        <v>5</v>
      </c>
    </row>
    <row r="309" ht="30" customHeight="1">
      <c r="A309" s="29" t="n">
        <v>305</v>
      </c>
      <c r="B309" s="107" t="inlineStr"/>
      <c r="C309" s="49" t="inlineStr"/>
      <c r="D309" s="32" t="inlineStr">
        <is>
          <t>S-Cross 2020 Sigma</t>
        </is>
      </c>
      <c r="E309" s="33" t="n">
        <v>5</v>
      </c>
      <c r="F309" s="34" t="inlineStr">
        <is>
          <t>Caffeine Brown · Granite Grey · Nexa Blue · Pearl Arctic White · Premium Silver</t>
        </is>
      </c>
      <c r="G309" s="17" t="n">
        <v>5</v>
      </c>
    </row>
    <row r="310" ht="30" customHeight="1">
      <c r="A310" s="108" t="n">
        <v>306</v>
      </c>
      <c r="B310" s="107" t="inlineStr"/>
      <c r="C310" s="109" t="inlineStr"/>
      <c r="D310" s="110" t="inlineStr">
        <is>
          <t>S-Cross 2020 Zeta</t>
        </is>
      </c>
      <c r="E310" s="111" t="n">
        <v>5</v>
      </c>
      <c r="F310" s="112" t="inlineStr">
        <is>
          <t>Caffeine Brown · Granite Grey · Nexa Blue · Pearl Arctic White · Premium Silver</t>
        </is>
      </c>
      <c r="G310" s="113" t="n">
        <v>5</v>
      </c>
    </row>
    <row r="311" ht="30" customHeight="1">
      <c r="A311" s="29" t="n">
        <v>307</v>
      </c>
      <c r="B311" s="107" t="inlineStr"/>
      <c r="C311" s="31" t="inlineStr">
        <is>
          <t>S-Presso</t>
        </is>
      </c>
      <c r="D311" s="32" t="inlineStr">
        <is>
          <t>S-Presso LXi (O)</t>
        </is>
      </c>
      <c r="E311" s="33" t="n">
        <v>6</v>
      </c>
      <c r="F311" s="34" t="inlineStr">
        <is>
          <t>Metallic Granite Grey · Metallic Silky Silver · Pearl Starry Blue · Solid Fire Red · Solid Sizzle Orange · Solid White</t>
        </is>
      </c>
      <c r="G311" s="17" t="n">
        <v>6</v>
      </c>
    </row>
    <row r="312" ht="30" customHeight="1">
      <c r="A312" s="108" t="n">
        <v>308</v>
      </c>
      <c r="B312" s="107" t="inlineStr"/>
      <c r="C312" s="109" t="inlineStr"/>
      <c r="D312" s="110" t="inlineStr">
        <is>
          <t>S-Presso STD (O)</t>
        </is>
      </c>
      <c r="E312" s="111" t="n">
        <v>6</v>
      </c>
      <c r="F312" s="112" t="inlineStr">
        <is>
          <t>Metallic Granite Grey · Metallic Silky Silver · Pearl Starry Blue · Solid Fire Red · Solid Sizzle Orange · Solid White</t>
        </is>
      </c>
      <c r="G312" s="113" t="n">
        <v>6</v>
      </c>
    </row>
    <row r="313" ht="30" customHeight="1">
      <c r="A313" s="29" t="n">
        <v>309</v>
      </c>
      <c r="B313" s="107" t="inlineStr"/>
      <c r="C313" s="49" t="inlineStr"/>
      <c r="D313" s="32" t="inlineStr">
        <is>
          <t>S-Presso VXi (O)</t>
        </is>
      </c>
      <c r="E313" s="33" t="n">
        <v>6</v>
      </c>
      <c r="F313" s="34" t="inlineStr">
        <is>
          <t>Metallic Granite Grey · Metallic Silky Silver · Pearl Starry Blue · Solid Fire Red · Solid Sizzle Orange · Solid White</t>
        </is>
      </c>
      <c r="G313" s="17" t="n">
        <v>6</v>
      </c>
    </row>
    <row r="314" ht="30" customHeight="1">
      <c r="A314" s="108" t="n">
        <v>310</v>
      </c>
      <c r="B314" s="107" t="inlineStr"/>
      <c r="C314" s="109" t="inlineStr"/>
      <c r="D314" s="110" t="inlineStr">
        <is>
          <t>S-Presso VXi Plus (O)</t>
        </is>
      </c>
      <c r="E314" s="111" t="n">
        <v>6</v>
      </c>
      <c r="F314" s="112" t="inlineStr">
        <is>
          <t>Metallic Granite Grey · Metallic Silky Silver · Pearl Starry Blue · Solid Fire Red · Solid Sizzle Orange · Solid White</t>
        </is>
      </c>
      <c r="G314" s="113" t="n">
        <v>6</v>
      </c>
    </row>
    <row r="315" ht="30" customHeight="1">
      <c r="A315" s="29" t="n">
        <v>311</v>
      </c>
      <c r="B315" s="107" t="inlineStr"/>
      <c r="C315" s="31" t="inlineStr">
        <is>
          <t>Swift</t>
        </is>
      </c>
      <c r="D315" s="32" t="inlineStr">
        <is>
          <t>Swift LXi</t>
        </is>
      </c>
      <c r="E315" s="33" t="n">
        <v>4</v>
      </c>
      <c r="F315" s="34" t="inlineStr">
        <is>
          <t>Magma Grey · Pearl Arctic White · Sizzling Red · Splendid Silver</t>
        </is>
      </c>
      <c r="G315" s="17" t="n">
        <v>4</v>
      </c>
    </row>
    <row r="316" ht="30" customHeight="1">
      <c r="A316" s="108" t="n">
        <v>312</v>
      </c>
      <c r="B316" s="107" t="inlineStr"/>
      <c r="C316" s="109" t="inlineStr"/>
      <c r="D316" s="110" t="inlineStr">
        <is>
          <t>Swift VXi</t>
        </is>
      </c>
      <c r="E316" s="111" t="n">
        <v>6</v>
      </c>
      <c r="F316" s="112" t="inlineStr">
        <is>
          <t>Luster Blue · Magma Grey · Novel Orange · Pearl Arctic White · Sizzling Red · Splendid Silver</t>
        </is>
      </c>
      <c r="G316" s="113" t="n">
        <v>6</v>
      </c>
    </row>
    <row r="317" ht="30" customHeight="1">
      <c r="A317" s="29" t="n">
        <v>313</v>
      </c>
      <c r="B317" s="107" t="inlineStr"/>
      <c r="C317" s="49" t="inlineStr"/>
      <c r="D317" s="32" t="inlineStr">
        <is>
          <t>Swift VXi (O)</t>
        </is>
      </c>
      <c r="E317" s="33" t="n">
        <v>6</v>
      </c>
      <c r="F317" s="34" t="inlineStr">
        <is>
          <t>Luster Blue · Magma Grey · Novel Orange · Pearl Arctic White · Sizzling Red · Splendid Silver</t>
        </is>
      </c>
      <c r="G317" s="17" t="n">
        <v>6</v>
      </c>
    </row>
    <row r="318" ht="30" customHeight="1">
      <c r="A318" s="108" t="n">
        <v>314</v>
      </c>
      <c r="B318" s="107" t="inlineStr"/>
      <c r="C318" s="109" t="inlineStr"/>
      <c r="D318" s="110" t="inlineStr">
        <is>
          <t>Swift ZXi</t>
        </is>
      </c>
      <c r="E318" s="111" t="n">
        <v>6</v>
      </c>
      <c r="F318" s="112" t="inlineStr">
        <is>
          <t>Luster Blue · Magma Grey · Novel Orange · Pearl Arctic White · Sizzling Red · Splendid Silver</t>
        </is>
      </c>
      <c r="G318" s="113" t="n">
        <v>6</v>
      </c>
    </row>
    <row r="319" ht="30" customHeight="1">
      <c r="A319" s="29" t="n">
        <v>315</v>
      </c>
      <c r="B319" s="107" t="inlineStr"/>
      <c r="C319" s="49" t="inlineStr"/>
      <c r="D319" s="32" t="inlineStr">
        <is>
          <t>Swift ZXi Plus</t>
        </is>
      </c>
      <c r="E319" s="33" t="n">
        <v>4</v>
      </c>
      <c r="F319" s="34" t="inlineStr">
        <is>
          <t>Magma Grey · Novel Orange · Pearl Arctic White · Splendid Silver</t>
        </is>
      </c>
      <c r="G319" s="17" t="n">
        <v>4</v>
      </c>
    </row>
    <row r="320" ht="30" customHeight="1">
      <c r="A320" s="108" t="n">
        <v>316</v>
      </c>
      <c r="B320" s="107" t="inlineStr"/>
      <c r="C320" s="114" t="inlineStr">
        <is>
          <t>Swift Dzire</t>
        </is>
      </c>
      <c r="D320" s="110" t="inlineStr">
        <is>
          <t>Swift Dzire [2015-2017] LDI</t>
        </is>
      </c>
      <c r="E320" s="111" t="n">
        <v>1</v>
      </c>
      <c r="F320" s="112" t="inlineStr">
        <is>
          <t>swift-dzire</t>
        </is>
      </c>
      <c r="G320" s="113" t="n">
        <v>1</v>
      </c>
    </row>
    <row r="321" ht="30" customHeight="1">
      <c r="A321" s="29" t="n">
        <v>317</v>
      </c>
      <c r="B321" s="107" t="inlineStr"/>
      <c r="C321" s="49" t="inlineStr"/>
      <c r="D321" s="32" t="inlineStr">
        <is>
          <t>Swift Dzire [2015-2017] LXI</t>
        </is>
      </c>
      <c r="E321" s="33" t="n">
        <v>1</v>
      </c>
      <c r="F321" s="34" t="inlineStr">
        <is>
          <t>swift-dzire</t>
        </is>
      </c>
      <c r="G321" s="17" t="n">
        <v>1</v>
      </c>
    </row>
    <row r="322" ht="30" customHeight="1">
      <c r="A322" s="108" t="n">
        <v>318</v>
      </c>
      <c r="B322" s="107" t="inlineStr"/>
      <c r="C322" s="109" t="inlineStr"/>
      <c r="D322" s="110" t="inlineStr">
        <is>
          <t>Swift Dzire [2015-2017] LXI (O)</t>
        </is>
      </c>
      <c r="E322" s="111" t="n">
        <v>1</v>
      </c>
      <c r="F322" s="112" t="inlineStr">
        <is>
          <t>swift-dzire</t>
        </is>
      </c>
      <c r="G322" s="113" t="n">
        <v>1</v>
      </c>
    </row>
    <row r="323" ht="30" customHeight="1">
      <c r="A323" s="29" t="n">
        <v>319</v>
      </c>
      <c r="B323" s="107" t="inlineStr"/>
      <c r="C323" s="49" t="inlineStr"/>
      <c r="D323" s="32" t="inlineStr">
        <is>
          <t>Swift Dzire [2015-2017] VDI</t>
        </is>
      </c>
      <c r="E323" s="33" t="n">
        <v>1</v>
      </c>
      <c r="F323" s="34" t="inlineStr">
        <is>
          <t>swift-dzire</t>
        </is>
      </c>
      <c r="G323" s="17" t="n">
        <v>1</v>
      </c>
    </row>
    <row r="324" ht="30" customHeight="1">
      <c r="A324" s="108" t="n">
        <v>320</v>
      </c>
      <c r="B324" s="107" t="inlineStr"/>
      <c r="C324" s="109" t="inlineStr"/>
      <c r="D324" s="110" t="inlineStr">
        <is>
          <t>Swift Dzire [2015-2017] VXI</t>
        </is>
      </c>
      <c r="E324" s="111" t="n">
        <v>1</v>
      </c>
      <c r="F324" s="112" t="inlineStr">
        <is>
          <t>swift-dzire</t>
        </is>
      </c>
      <c r="G324" s="113" t="n">
        <v>1</v>
      </c>
    </row>
    <row r="325" ht="30" customHeight="1">
      <c r="A325" s="29" t="n">
        <v>321</v>
      </c>
      <c r="B325" s="107" t="inlineStr"/>
      <c r="C325" s="49" t="inlineStr"/>
      <c r="D325" s="32" t="inlineStr">
        <is>
          <t>Swift Dzire [2015-2017] ZDI</t>
        </is>
      </c>
      <c r="E325" s="33" t="n">
        <v>1</v>
      </c>
      <c r="F325" s="34" t="inlineStr">
        <is>
          <t>swift-dzire</t>
        </is>
      </c>
      <c r="G325" s="17" t="n">
        <v>1</v>
      </c>
    </row>
    <row r="326" ht="30" customHeight="1">
      <c r="A326" s="108" t="n">
        <v>322</v>
      </c>
      <c r="B326" s="107" t="inlineStr"/>
      <c r="C326" s="109" t="inlineStr"/>
      <c r="D326" s="110" t="inlineStr">
        <is>
          <t>Swift Dzire [2015-2017] ZXI</t>
        </is>
      </c>
      <c r="E326" s="111" t="n">
        <v>1</v>
      </c>
      <c r="F326" s="112" t="inlineStr">
        <is>
          <t>swift-dzire</t>
        </is>
      </c>
      <c r="G326" s="113" t="n">
        <v>1</v>
      </c>
    </row>
    <row r="327" ht="30" customHeight="1">
      <c r="A327" s="29" t="n">
        <v>323</v>
      </c>
      <c r="B327" s="107" t="inlineStr"/>
      <c r="C327" s="31" t="inlineStr">
        <is>
          <t>Victoris</t>
        </is>
      </c>
      <c r="D327" s="32" t="inlineStr">
        <is>
          <t>Victoris LXi</t>
        </is>
      </c>
      <c r="E327" s="33" t="n">
        <v>3</v>
      </c>
      <c r="F327" s="34" t="inlineStr">
        <is>
          <t>Magma Grey · Pearl Arctic White · Splendid Silver</t>
        </is>
      </c>
      <c r="G327" s="17" t="n">
        <v>3</v>
      </c>
    </row>
    <row r="328" ht="30" customHeight="1">
      <c r="A328" s="108" t="n">
        <v>324</v>
      </c>
      <c r="B328" s="107" t="inlineStr"/>
      <c r="C328" s="109" t="inlineStr"/>
      <c r="D328" s="110" t="inlineStr">
        <is>
          <t>Victoris VXi</t>
        </is>
      </c>
      <c r="E328" s="111" t="n">
        <v>5</v>
      </c>
      <c r="F328" s="112" t="inlineStr">
        <is>
          <t>Eternal Blue · Magma Grey · Pearl Arctic White · Sizzling Red · Splendid Silver</t>
        </is>
      </c>
      <c r="G328" s="113" t="n">
        <v>5</v>
      </c>
    </row>
    <row r="329" ht="30" customHeight="1">
      <c r="A329" s="29" t="n">
        <v>325</v>
      </c>
      <c r="B329" s="107" t="inlineStr"/>
      <c r="C329" s="49" t="inlineStr"/>
      <c r="D329" s="32" t="inlineStr">
        <is>
          <t>Victoris ZXi</t>
        </is>
      </c>
      <c r="E329" s="33" t="n">
        <v>8</v>
      </c>
      <c r="F329" s="34" t="inlineStr">
        <is>
          <t>Eternal Blue · Eternal Blue with Bluish Black Roof · Magma Grey · Pearl Arctic White · Sizzling Red · Sizzling Red with Bluish Black Roof · Splendid Silver · Splendid Silver with Bluish Black Roof</t>
        </is>
      </c>
      <c r="G329" s="17" t="n">
        <v>8</v>
      </c>
    </row>
    <row r="330" ht="30" customHeight="1">
      <c r="A330" s="108" t="n">
        <v>326</v>
      </c>
      <c r="B330" s="107" t="inlineStr"/>
      <c r="C330" s="109" t="inlineStr"/>
      <c r="D330" s="110" t="inlineStr">
        <is>
          <t>Victoris ZXi (O)</t>
        </is>
      </c>
      <c r="E330" s="111" t="n">
        <v>8</v>
      </c>
      <c r="F330" s="112" t="inlineStr">
        <is>
          <t>Bluish Black · Eternal Blue with Bluish Black Roof · Magma Grey · Mystic Green · Pearl Arctic White · Sizzling Red with Bluish Black Roof · Splendid Silver · Splendid Silver with Bluish Black Roof</t>
        </is>
      </c>
      <c r="G330" s="113" t="n">
        <v>8</v>
      </c>
    </row>
    <row r="331" ht="30" customHeight="1">
      <c r="A331" s="29" t="n">
        <v>327</v>
      </c>
      <c r="B331" s="107" t="inlineStr"/>
      <c r="C331" s="49" t="inlineStr"/>
      <c r="D331" s="32" t="inlineStr">
        <is>
          <t>Victoris ZXi Plus</t>
        </is>
      </c>
      <c r="E331" s="33" t="n">
        <v>8</v>
      </c>
      <c r="F331" s="34" t="inlineStr">
        <is>
          <t>Bluish Black · Eternal Blue with Bluish Black Roof · Magma Grey · Mystic Green · Pearl Arctic White · Sizzling Red with Bluish Black Roof · Splendid Silver · Splendid Silver with Bluish Black Roof</t>
        </is>
      </c>
      <c r="G331" s="17" t="n">
        <v>8</v>
      </c>
    </row>
    <row r="332" ht="30" customHeight="1">
      <c r="A332" s="108" t="n">
        <v>328</v>
      </c>
      <c r="B332" s="107" t="inlineStr"/>
      <c r="C332" s="109" t="inlineStr"/>
      <c r="D332" s="110" t="inlineStr">
        <is>
          <t>Victoris ZXi Plus (O)</t>
        </is>
      </c>
      <c r="E332" s="111" t="n">
        <v>8</v>
      </c>
      <c r="F332" s="112" t="inlineStr">
        <is>
          <t>Bluish Black · Eternal Blue with Bluish Black Roof · Magma Grey · Mystic Green · Pearl Arctic White · Sizzling Red with Bluish Black Roof · Splendid Silver · Splendid Silver with Bluish Black Roof</t>
        </is>
      </c>
      <c r="G332" s="113" t="n">
        <v>8</v>
      </c>
    </row>
    <row r="333" ht="30" customHeight="1">
      <c r="A333" s="29" t="n">
        <v>329</v>
      </c>
      <c r="B333" s="107" t="inlineStr"/>
      <c r="C333" s="31" t="inlineStr">
        <is>
          <t>WagnoR</t>
        </is>
      </c>
      <c r="D333" s="32" t="inlineStr">
        <is>
          <t>Wagon R LXi</t>
        </is>
      </c>
      <c r="E333" s="33" t="n">
        <v>3</v>
      </c>
      <c r="F333" s="34" t="inlineStr">
        <is>
          <t>Metallic Magma Grey · Metallic Silky Silver · Solid White</t>
        </is>
      </c>
      <c r="G333" s="17" t="n">
        <v>3</v>
      </c>
    </row>
    <row r="334" ht="30" customHeight="1">
      <c r="A334" s="108" t="n">
        <v>330</v>
      </c>
      <c r="B334" s="107" t="inlineStr"/>
      <c r="C334" s="109" t="inlineStr"/>
      <c r="D334" s="110" t="inlineStr">
        <is>
          <t>Wagon R VXi</t>
        </is>
      </c>
      <c r="E334" s="111" t="n">
        <v>5</v>
      </c>
      <c r="F334" s="112" t="inlineStr">
        <is>
          <t>Metallic Magma Grey · Metallic Silky Silver · Pearl Metallic Poolside Blue · Peral Metallic Nutmeg Brown · Solid White</t>
        </is>
      </c>
      <c r="G334" s="113" t="n">
        <v>5</v>
      </c>
    </row>
    <row r="335" ht="30" customHeight="1">
      <c r="A335" s="29" t="n">
        <v>331</v>
      </c>
      <c r="B335" s="107" t="inlineStr"/>
      <c r="C335" s="49" t="inlineStr"/>
      <c r="D335" s="32" t="inlineStr">
        <is>
          <t>Wagon R ZXi</t>
        </is>
      </c>
      <c r="E335" s="33" t="n">
        <v>6</v>
      </c>
      <c r="F335" s="34" t="inlineStr">
        <is>
          <t>Metallic Magma Grey · Metallic Silky Silver · Pearl Bluish Black · Pearl Metallic Poolside Blue · Peral Metallic Nutmeg Brown · Solid White</t>
        </is>
      </c>
      <c r="G335" s="17" t="n">
        <v>6</v>
      </c>
    </row>
    <row r="336" ht="30" customHeight="1">
      <c r="A336" s="108" t="n">
        <v>332</v>
      </c>
      <c r="B336" s="107" t="inlineStr"/>
      <c r="C336" s="109" t="inlineStr"/>
      <c r="D336" s="110" t="inlineStr">
        <is>
          <t>Wagon R ZXi Plus</t>
        </is>
      </c>
      <c r="E336" s="111" t="n">
        <v>6</v>
      </c>
      <c r="F336" s="112" t="inlineStr">
        <is>
          <t>Metallic Magma Grey · Metallic Silky Silver · Pearl Bluish Black · Pearl Metallic Poolside Blue · Peral Metallic Nutmeg Brown · Solid White</t>
        </is>
      </c>
      <c r="G336" s="113" t="n">
        <v>6</v>
      </c>
    </row>
    <row r="337" ht="30" customHeight="1">
      <c r="A337" s="29" t="n">
        <v>333</v>
      </c>
      <c r="B337" s="107" t="inlineStr"/>
      <c r="C337" s="31" t="inlineStr">
        <is>
          <t>XL6</t>
        </is>
      </c>
      <c r="D337" s="32" t="inlineStr">
        <is>
          <t>XL6 Alpha</t>
        </is>
      </c>
      <c r="E337" s="33" t="n">
        <v>7</v>
      </c>
      <c r="F337" s="34" t="inlineStr">
        <is>
          <t>Arctic White · Bluish Black · Brave Khaki · Grandeur Grey · Nexa Blue (Celestial) · Opulent Red · Splendid Silver</t>
        </is>
      </c>
      <c r="G337" s="17" t="n">
        <v>7</v>
      </c>
    </row>
    <row r="338" ht="30" customHeight="1">
      <c r="A338" s="108" t="n">
        <v>334</v>
      </c>
      <c r="B338" s="107" t="inlineStr"/>
      <c r="C338" s="109" t="inlineStr"/>
      <c r="D338" s="110" t="inlineStr">
        <is>
          <t>XL6 Alpha Plus</t>
        </is>
      </c>
      <c r="E338" s="111" t="n">
        <v>7</v>
      </c>
      <c r="F338" s="112" t="inlineStr">
        <is>
          <t>Arctic White · Bluish Black · Brave Khaki · Grandeur Grey · Nexa Blue (Celestial) · Opulent Red · Splendid Silver</t>
        </is>
      </c>
      <c r="G338" s="113" t="n">
        <v>7</v>
      </c>
    </row>
    <row r="339" ht="30" customHeight="1">
      <c r="A339" s="29" t="n">
        <v>335</v>
      </c>
      <c r="B339" s="107" t="inlineStr"/>
      <c r="C339" s="49" t="inlineStr"/>
      <c r="D339" s="32" t="inlineStr">
        <is>
          <t>XL6 Zeta</t>
        </is>
      </c>
      <c r="E339" s="33" t="n">
        <v>7</v>
      </c>
      <c r="F339" s="34" t="inlineStr">
        <is>
          <t>Arctic White · Bluish Black · Brave Khaki · Grandeur Grey · Nexa Blue (Celestial) · Opulent Red · Splendid Silver</t>
        </is>
      </c>
      <c r="G339" s="17" t="n">
        <v>7</v>
      </c>
    </row>
    <row r="340" ht="30" customHeight="1">
      <c r="A340" s="115" t="n">
        <v>336</v>
      </c>
      <c r="B340" s="116" t="inlineStr">
        <is>
          <t>Mitsubishi</t>
        </is>
      </c>
      <c r="C340" s="117" t="inlineStr">
        <is>
          <t>Cedia</t>
        </is>
      </c>
      <c r="D340" s="118" t="inlineStr">
        <is>
          <t>Standard</t>
        </is>
      </c>
      <c r="E340" s="119" t="n">
        <v>1</v>
      </c>
      <c r="F340" s="120" t="inlineStr">
        <is>
          <t>cedia</t>
        </is>
      </c>
      <c r="G340" s="121" t="n">
        <v>1</v>
      </c>
    </row>
    <row r="341" ht="30" customHeight="1">
      <c r="A341" s="29" t="n">
        <v>337</v>
      </c>
      <c r="B341" s="116" t="inlineStr"/>
      <c r="C341" s="31" t="inlineStr">
        <is>
          <t>Lancer</t>
        </is>
      </c>
      <c r="D341" s="32" t="inlineStr">
        <is>
          <t>Standard</t>
        </is>
      </c>
      <c r="E341" s="33" t="n">
        <v>1</v>
      </c>
      <c r="F341" s="34" t="inlineStr">
        <is>
          <t>lancer</t>
        </is>
      </c>
      <c r="G341" s="17" t="n">
        <v>1</v>
      </c>
    </row>
    <row r="342" ht="30" customHeight="1">
      <c r="A342" s="115" t="n">
        <v>338</v>
      </c>
      <c r="B342" s="116" t="inlineStr"/>
      <c r="C342" s="117" t="inlineStr">
        <is>
          <t>Outlander (Older India)</t>
        </is>
      </c>
      <c r="D342" s="118" t="inlineStr">
        <is>
          <t>Standard</t>
        </is>
      </c>
      <c r="E342" s="119" t="n">
        <v>7</v>
      </c>
      <c r="F342" s="120" t="inlineStr">
        <is>
          <t>Black Pearl · Cool Silver · Cosmic Blue · Orient Red · Titanium Gray · White Pearl · White Solid</t>
        </is>
      </c>
      <c r="G342" s="121" t="n">
        <v>7</v>
      </c>
    </row>
    <row r="343" ht="30" customHeight="1">
      <c r="A343" s="29" t="n">
        <v>339</v>
      </c>
      <c r="B343" s="116" t="inlineStr"/>
      <c r="C343" s="31" t="inlineStr">
        <is>
          <t>Pajero Sport</t>
        </is>
      </c>
      <c r="D343" s="32" t="inlineStr">
        <is>
          <t>Standard</t>
        </is>
      </c>
      <c r="E343" s="33" t="n">
        <v>4</v>
      </c>
      <c r="F343" s="34" t="inlineStr">
        <is>
          <t>Blac_White · Black _ Red · Black _ Silver · Black _Yellow</t>
        </is>
      </c>
      <c r="G343" s="17" t="n">
        <v>4</v>
      </c>
    </row>
    <row r="344" ht="30" customHeight="1">
      <c r="A344" s="122" t="n">
        <v>340</v>
      </c>
      <c r="B344" s="123" t="inlineStr">
        <is>
          <t>Nissan</t>
        </is>
      </c>
      <c r="C344" s="124" t="inlineStr">
        <is>
          <t>Kicks</t>
        </is>
      </c>
      <c r="D344" s="125" t="inlineStr">
        <is>
          <t>Kicks XE</t>
        </is>
      </c>
      <c r="E344" s="126" t="n">
        <v>6</v>
      </c>
      <c r="F344" s="127" t="inlineStr">
        <is>
          <t>Blade Silver · Bronze Grey · Deep Blue Pearl · Fire Red · Night Shade · Pearl White</t>
        </is>
      </c>
      <c r="G344" s="128" t="n">
        <v>6</v>
      </c>
    </row>
    <row r="345" ht="30" customHeight="1">
      <c r="A345" s="29" t="n">
        <v>341</v>
      </c>
      <c r="B345" s="123" t="inlineStr"/>
      <c r="C345" s="49" t="inlineStr"/>
      <c r="D345" s="32" t="inlineStr">
        <is>
          <t>Kicks XL</t>
        </is>
      </c>
      <c r="E345" s="33" t="n">
        <v>6</v>
      </c>
      <c r="F345" s="34" t="inlineStr">
        <is>
          <t>Blade Silver · Bronze Grey · Deep Blue Pearl · Fire Red · Night Shade · Pearl White</t>
        </is>
      </c>
      <c r="G345" s="17" t="n">
        <v>6</v>
      </c>
    </row>
    <row r="346" ht="30" customHeight="1">
      <c r="A346" s="122" t="n">
        <v>342</v>
      </c>
      <c r="B346" s="123" t="inlineStr"/>
      <c r="C346" s="129" t="inlineStr"/>
      <c r="D346" s="125" t="inlineStr">
        <is>
          <t>Kicks XL D</t>
        </is>
      </c>
      <c r="E346" s="126" t="n">
        <v>6</v>
      </c>
      <c r="F346" s="127" t="inlineStr">
        <is>
          <t>Blade Silver · Bronze Grey · Deep Blue Pearl · Fire Red · Night Shade · Pearl White</t>
        </is>
      </c>
      <c r="G346" s="128" t="n">
        <v>6</v>
      </c>
    </row>
    <row r="347" ht="30" customHeight="1">
      <c r="A347" s="29" t="n">
        <v>343</v>
      </c>
      <c r="B347" s="123" t="inlineStr"/>
      <c r="C347" s="49" t="inlineStr"/>
      <c r="D347" s="32" t="inlineStr">
        <is>
          <t>Kicks XV</t>
        </is>
      </c>
      <c r="E347" s="33" t="n">
        <v>6</v>
      </c>
      <c r="F347" s="34" t="inlineStr">
        <is>
          <t>Blade Silver · Bronze Grey · Deep Blue Pearl · Fire Red · Night Shade · Pearl White</t>
        </is>
      </c>
      <c r="G347" s="17" t="n">
        <v>6</v>
      </c>
    </row>
    <row r="348" ht="30" customHeight="1">
      <c r="A348" s="122" t="n">
        <v>344</v>
      </c>
      <c r="B348" s="123" t="inlineStr"/>
      <c r="C348" s="129" t="inlineStr"/>
      <c r="D348" s="125" t="inlineStr">
        <is>
          <t>Kicks XV D</t>
        </is>
      </c>
      <c r="E348" s="126" t="n">
        <v>6</v>
      </c>
      <c r="F348" s="127" t="inlineStr">
        <is>
          <t>Blade Silver · Bronze Grey · Deep Blue Pearl · Fire Red · Night Shade · Pearl White</t>
        </is>
      </c>
      <c r="G348" s="128" t="n">
        <v>6</v>
      </c>
    </row>
    <row r="349" ht="30" customHeight="1">
      <c r="A349" s="29" t="n">
        <v>345</v>
      </c>
      <c r="B349" s="123" t="inlineStr"/>
      <c r="C349" s="49" t="inlineStr"/>
      <c r="D349" s="32" t="inlineStr">
        <is>
          <t>Kicks XV Pre D</t>
        </is>
      </c>
      <c r="E349" s="33" t="n">
        <v>6</v>
      </c>
      <c r="F349" s="34" t="inlineStr">
        <is>
          <t>Blade Silver · Bronze Grey · Deep Blue Pearl · Fire Red · Night Shade · Pearl White</t>
        </is>
      </c>
      <c r="G349" s="17" t="n">
        <v>6</v>
      </c>
    </row>
    <row r="350" ht="30" customHeight="1">
      <c r="A350" s="122" t="n">
        <v>346</v>
      </c>
      <c r="B350" s="123" t="inlineStr"/>
      <c r="C350" s="129" t="inlineStr"/>
      <c r="D350" s="125" t="inlineStr">
        <is>
          <t>Kicks XV Premium</t>
        </is>
      </c>
      <c r="E350" s="126" t="n">
        <v>6</v>
      </c>
      <c r="F350" s="127" t="inlineStr">
        <is>
          <t>Blade Silver · Bronze Grey · Deep Blue Pearl · Fire Red · Night Shade · Pearl White</t>
        </is>
      </c>
      <c r="G350" s="128" t="n">
        <v>6</v>
      </c>
    </row>
    <row r="351" ht="30" customHeight="1">
      <c r="A351" s="29" t="n">
        <v>347</v>
      </c>
      <c r="B351" s="123" t="inlineStr"/>
      <c r="C351" s="49" t="inlineStr"/>
      <c r="D351" s="32" t="inlineStr">
        <is>
          <t>Kicks XV Premium (O)</t>
        </is>
      </c>
      <c r="E351" s="33" t="n">
        <v>6</v>
      </c>
      <c r="F351" s="34" t="inlineStr">
        <is>
          <t>Blade Silver · Bronze Grey · Deep Blue Pearl · Fire Red · Night Shade · Pearl White</t>
        </is>
      </c>
      <c r="G351" s="17" t="n">
        <v>6</v>
      </c>
    </row>
    <row r="352" ht="30" customHeight="1">
      <c r="A352" s="122" t="n">
        <v>348</v>
      </c>
      <c r="B352" s="123" t="inlineStr"/>
      <c r="C352" s="124" t="inlineStr">
        <is>
          <t>Magnite</t>
        </is>
      </c>
      <c r="D352" s="125" t="inlineStr">
        <is>
          <t>Magnite Acenta</t>
        </is>
      </c>
      <c r="E352" s="126" t="n">
        <v>4</v>
      </c>
      <c r="F352" s="127" t="inlineStr">
        <is>
          <t>Blade Silver · Flare Garnet Red · Onyx Black · Storm White</t>
        </is>
      </c>
      <c r="G352" s="128" t="n">
        <v>4</v>
      </c>
    </row>
    <row r="353" ht="30" customHeight="1">
      <c r="A353" s="29" t="n">
        <v>349</v>
      </c>
      <c r="B353" s="123" t="inlineStr"/>
      <c r="C353" s="49" t="inlineStr"/>
      <c r="D353" s="32" t="inlineStr">
        <is>
          <t>Magnite Kuro Edition</t>
        </is>
      </c>
      <c r="E353" s="33" t="n">
        <v>1</v>
      </c>
      <c r="F353" s="34" t="inlineStr">
        <is>
          <t>Onyx Black</t>
        </is>
      </c>
      <c r="G353" s="17" t="n">
        <v>1</v>
      </c>
    </row>
    <row r="354" ht="30" customHeight="1">
      <c r="A354" s="122" t="n">
        <v>350</v>
      </c>
      <c r="B354" s="123" t="inlineStr"/>
      <c r="C354" s="129" t="inlineStr"/>
      <c r="D354" s="125" t="inlineStr">
        <is>
          <t>Magnite N-Connecta</t>
        </is>
      </c>
      <c r="E354" s="126" t="n">
        <v>5</v>
      </c>
      <c r="F354" s="127" t="inlineStr">
        <is>
          <t>Blade Silver · Flare Garnet Red · Onyx Black · Storm White · Sunrise Cooper Orange</t>
        </is>
      </c>
      <c r="G354" s="128" t="n">
        <v>5</v>
      </c>
    </row>
    <row r="355" ht="30" customHeight="1">
      <c r="A355" s="29" t="n">
        <v>351</v>
      </c>
      <c r="B355" s="123" t="inlineStr"/>
      <c r="C355" s="49" t="inlineStr"/>
      <c r="D355" s="32" t="inlineStr">
        <is>
          <t>Magnite Tekna</t>
        </is>
      </c>
      <c r="E355" s="33" t="n">
        <v>6</v>
      </c>
      <c r="F355" s="34" t="inlineStr">
        <is>
          <t>Blade Silver · Flare Garnet Red · Metallic Grey · Onyx Black · Storm White · Sunrise Cooper Orange</t>
        </is>
      </c>
      <c r="G355" s="17" t="n">
        <v>6</v>
      </c>
    </row>
    <row r="356" ht="30" customHeight="1">
      <c r="A356" s="122" t="n">
        <v>352</v>
      </c>
      <c r="B356" s="123" t="inlineStr"/>
      <c r="C356" s="129" t="inlineStr"/>
      <c r="D356" s="125" t="inlineStr">
        <is>
          <t>Magnite Tekna Plus</t>
        </is>
      </c>
      <c r="E356" s="126" t="n">
        <v>6</v>
      </c>
      <c r="F356" s="127" t="inlineStr">
        <is>
          <t>Blade Silver · Flare Garnet Red · Metallic Grey · Onyx Black · Storm White · Sunrise Cooper Orange</t>
        </is>
      </c>
      <c r="G356" s="128" t="n">
        <v>6</v>
      </c>
    </row>
    <row r="357" ht="30" customHeight="1">
      <c r="A357" s="29" t="n">
        <v>353</v>
      </c>
      <c r="B357" s="123" t="inlineStr"/>
      <c r="C357" s="49" t="inlineStr"/>
      <c r="D357" s="32" t="inlineStr">
        <is>
          <t>Magnite Visia</t>
        </is>
      </c>
      <c r="E357" s="33" t="n">
        <v>2</v>
      </c>
      <c r="F357" s="34" t="inlineStr">
        <is>
          <t>Blade Silver · Storm White</t>
        </is>
      </c>
      <c r="G357" s="17" t="n">
        <v>2</v>
      </c>
    </row>
    <row r="358" ht="30" customHeight="1">
      <c r="A358" s="122" t="n">
        <v>354</v>
      </c>
      <c r="B358" s="123" t="inlineStr"/>
      <c r="C358" s="129" t="inlineStr"/>
      <c r="D358" s="125" t="inlineStr">
        <is>
          <t>Magnite Visia Plus</t>
        </is>
      </c>
      <c r="E358" s="126" t="n">
        <v>3</v>
      </c>
      <c r="F358" s="127" t="inlineStr">
        <is>
          <t>Blade Silver · Onyx Black · Storm White</t>
        </is>
      </c>
      <c r="G358" s="128" t="n">
        <v>3</v>
      </c>
    </row>
    <row r="359" ht="30" customHeight="1">
      <c r="A359" s="29" t="n">
        <v>355</v>
      </c>
      <c r="B359" s="123" t="inlineStr"/>
      <c r="C359" s="31" t="inlineStr">
        <is>
          <t>Terrano</t>
        </is>
      </c>
      <c r="D359" s="32" t="inlineStr">
        <is>
          <t>Terrano Sport</t>
        </is>
      </c>
      <c r="E359" s="33" t="n">
        <v>6</v>
      </c>
      <c r="F359" s="34" t="inlineStr">
        <is>
          <t>Blade Silver · Bronze Grey · Fire Red · Pearl White · Sandstone Brown · Sapphire Black</t>
        </is>
      </c>
      <c r="G359" s="17" t="n">
        <v>6</v>
      </c>
    </row>
    <row r="360" ht="30" customHeight="1">
      <c r="A360" s="122" t="n">
        <v>356</v>
      </c>
      <c r="B360" s="123" t="inlineStr"/>
      <c r="C360" s="129" t="inlineStr"/>
      <c r="D360" s="125" t="inlineStr">
        <is>
          <t>Terrano XE</t>
        </is>
      </c>
      <c r="E360" s="126" t="n">
        <v>5</v>
      </c>
      <c r="F360" s="127" t="inlineStr">
        <is>
          <t>Blade Silver · Bronze Grey · Fire Red · Pearl White · Sandstone Brown</t>
        </is>
      </c>
      <c r="G360" s="128" t="n">
        <v>5</v>
      </c>
    </row>
    <row r="361" ht="30" customHeight="1">
      <c r="A361" s="29" t="n">
        <v>357</v>
      </c>
      <c r="B361" s="123" t="inlineStr"/>
      <c r="C361" s="49" t="inlineStr"/>
      <c r="D361" s="32" t="inlineStr">
        <is>
          <t>Terrano XL</t>
        </is>
      </c>
      <c r="E361" s="33" t="n">
        <v>6</v>
      </c>
      <c r="F361" s="34" t="inlineStr">
        <is>
          <t>Blade Silver · Bronze Grey · Fire Red · Pearl White · Sandstone Brown · Sapphire Black</t>
        </is>
      </c>
      <c r="G361" s="17" t="n">
        <v>6</v>
      </c>
    </row>
    <row r="362" ht="30" customHeight="1">
      <c r="A362" s="122" t="n">
        <v>358</v>
      </c>
      <c r="B362" s="123" t="inlineStr"/>
      <c r="C362" s="129" t="inlineStr"/>
      <c r="D362" s="125" t="inlineStr">
        <is>
          <t>Terrano XL O</t>
        </is>
      </c>
      <c r="E362" s="126" t="n">
        <v>6</v>
      </c>
      <c r="F362" s="127" t="inlineStr">
        <is>
          <t>Blade Silver · Bronze Grey · Fire Red · Pearl White · Sandstone Brown · Sapphire Black</t>
        </is>
      </c>
      <c r="G362" s="128" t="n">
        <v>6</v>
      </c>
    </row>
    <row r="363" ht="30" customHeight="1">
      <c r="A363" s="29" t="n">
        <v>359</v>
      </c>
      <c r="B363" s="123" t="inlineStr"/>
      <c r="C363" s="49" t="inlineStr"/>
      <c r="D363" s="32" t="inlineStr">
        <is>
          <t>Terrano XV Premium</t>
        </is>
      </c>
      <c r="E363" s="33" t="n">
        <v>6</v>
      </c>
      <c r="F363" s="34" t="inlineStr">
        <is>
          <t>Blade Silver · Bronze Grey · Fire Red · Pearl White · Sandstone Brown · Sapphire Black</t>
        </is>
      </c>
      <c r="G363" s="17" t="n">
        <v>6</v>
      </c>
    </row>
    <row r="364" ht="30" customHeight="1">
      <c r="A364" s="122" t="n">
        <v>360</v>
      </c>
      <c r="B364" s="123" t="inlineStr"/>
      <c r="C364" s="124" t="inlineStr">
        <is>
          <t>X-Trail</t>
        </is>
      </c>
      <c r="D364" s="125" t="inlineStr">
        <is>
          <t>Standard</t>
        </is>
      </c>
      <c r="E364" s="126" t="n">
        <v>3</v>
      </c>
      <c r="F364" s="127" t="inlineStr">
        <is>
          <t>Champagne silver · Diamond Black · Pearl White</t>
        </is>
      </c>
      <c r="G364" s="128" t="n">
        <v>3</v>
      </c>
    </row>
    <row r="365" ht="30" customHeight="1">
      <c r="A365" s="29" t="n">
        <v>361</v>
      </c>
      <c r="B365" s="130" t="inlineStr">
        <is>
          <t>Renault</t>
        </is>
      </c>
      <c r="C365" s="31" t="inlineStr">
        <is>
          <t>Duster</t>
        </is>
      </c>
      <c r="D365" s="32" t="inlineStr">
        <is>
          <t>Duster Authentic</t>
        </is>
      </c>
      <c r="E365" s="33" t="n">
        <v>3</v>
      </c>
      <c r="F365" s="34" t="inlineStr">
        <is>
          <t>Duster Emotion · Moonlight Silver · Pearl White</t>
        </is>
      </c>
      <c r="G365" s="17" t="n">
        <v>3</v>
      </c>
    </row>
    <row r="366" ht="30" customHeight="1">
      <c r="A366" s="131" t="n">
        <v>362</v>
      </c>
      <c r="B366" s="130" t="inlineStr"/>
      <c r="C366" s="132" t="inlineStr"/>
      <c r="D366" s="133" t="inlineStr">
        <is>
          <t>Duster Emotion</t>
        </is>
      </c>
      <c r="E366" s="134" t="n">
        <v>4</v>
      </c>
      <c r="F366" s="135" t="inlineStr">
        <is>
          <t>Mountain Jade Green · River Blue · Stealth Black · Sunset Red</t>
        </is>
      </c>
      <c r="G366" s="136" t="n">
        <v>4</v>
      </c>
    </row>
    <row r="367" ht="30" customHeight="1">
      <c r="A367" s="29" t="n">
        <v>363</v>
      </c>
      <c r="B367" s="130" t="inlineStr"/>
      <c r="C367" s="49" t="inlineStr"/>
      <c r="D367" s="32" t="inlineStr">
        <is>
          <t>Duster Evolution</t>
        </is>
      </c>
      <c r="E367" s="33" t="n">
        <v>3</v>
      </c>
      <c r="F367" s="34" t="inlineStr">
        <is>
          <t>Moonlight Silver · Pearl White · Stealth Black</t>
        </is>
      </c>
      <c r="G367" s="17" t="n">
        <v>3</v>
      </c>
    </row>
    <row r="368" ht="30" customHeight="1">
      <c r="A368" s="131" t="n">
        <v>364</v>
      </c>
      <c r="B368" s="130" t="inlineStr"/>
      <c r="C368" s="132" t="inlineStr"/>
      <c r="D368" s="133" t="inlineStr">
        <is>
          <t>Duster Iconic</t>
        </is>
      </c>
      <c r="E368" s="134" t="n">
        <v>5</v>
      </c>
      <c r="F368" s="135" t="inlineStr">
        <is>
          <t>Moonlight Silver · Pearl White · River Blue · Stealth Black · Sunset Red</t>
        </is>
      </c>
      <c r="G368" s="136" t="n">
        <v>5</v>
      </c>
    </row>
    <row r="369" ht="30" customHeight="1">
      <c r="A369" s="29" t="n">
        <v>365</v>
      </c>
      <c r="B369" s="130" t="inlineStr"/>
      <c r="C369" s="49" t="inlineStr"/>
      <c r="D369" s="32" t="inlineStr">
        <is>
          <t>Duster Techno</t>
        </is>
      </c>
      <c r="E369" s="33" t="n">
        <v>6</v>
      </c>
      <c r="F369" s="34" t="inlineStr">
        <is>
          <t>Moonlight Silver · Mountain Jade Green · Pearl White · River Blue · Stealth Black · Sunset Red</t>
        </is>
      </c>
      <c r="G369" s="17" t="n">
        <v>6</v>
      </c>
    </row>
    <row r="370" ht="30" customHeight="1">
      <c r="A370" s="131" t="n">
        <v>366</v>
      </c>
      <c r="B370" s="130" t="inlineStr"/>
      <c r="C370" s="132" t="inlineStr"/>
      <c r="D370" s="133" t="inlineStr">
        <is>
          <t>Duster Techno Plus</t>
        </is>
      </c>
      <c r="E370" s="134" t="n">
        <v>6</v>
      </c>
      <c r="F370" s="135" t="inlineStr">
        <is>
          <t>Moonlight Silver · Mountain Jade Green · Pearl White · River Blue · Stealth Black · Sunset Red</t>
        </is>
      </c>
      <c r="G370" s="136" t="n">
        <v>6</v>
      </c>
    </row>
    <row r="371" ht="30" customHeight="1">
      <c r="A371" s="29" t="n">
        <v>367</v>
      </c>
      <c r="B371" s="130" t="inlineStr"/>
      <c r="C371" s="31" t="inlineStr">
        <is>
          <t>Kiger</t>
        </is>
      </c>
      <c r="D371" s="32" t="inlineStr">
        <is>
          <t>Kiger Authentic</t>
        </is>
      </c>
      <c r="E371" s="33" t="n">
        <v>3</v>
      </c>
      <c r="F371" s="34" t="inlineStr">
        <is>
          <t>Ice Cool White · Moonlight Silver · Stealth Black</t>
        </is>
      </c>
      <c r="G371" s="17" t="n">
        <v>3</v>
      </c>
    </row>
    <row r="372" ht="30" customHeight="1">
      <c r="A372" s="131" t="n">
        <v>368</v>
      </c>
      <c r="B372" s="130" t="inlineStr"/>
      <c r="C372" s="132" t="inlineStr"/>
      <c r="D372" s="133" t="inlineStr">
        <is>
          <t>Kiger Emotion</t>
        </is>
      </c>
      <c r="E372" s="134" t="n">
        <v>4</v>
      </c>
      <c r="F372" s="135" t="inlineStr">
        <is>
          <t>Ice Cool White · Moonlight Silver · Shadow Grey · Stealth Black</t>
        </is>
      </c>
      <c r="G372" s="136" t="n">
        <v>4</v>
      </c>
    </row>
    <row r="373" ht="30" customHeight="1">
      <c r="A373" s="29" t="n">
        <v>369</v>
      </c>
      <c r="B373" s="130" t="inlineStr"/>
      <c r="C373" s="49" t="inlineStr"/>
      <c r="D373" s="32" t="inlineStr">
        <is>
          <t>Kiger Evolution</t>
        </is>
      </c>
      <c r="E373" s="33" t="n">
        <v>4</v>
      </c>
      <c r="F373" s="34" t="inlineStr">
        <is>
          <t>Ice Cool White · Moonlight Silver · Shadow Grey · Stealth Black</t>
        </is>
      </c>
      <c r="G373" s="17" t="n">
        <v>4</v>
      </c>
    </row>
    <row r="374" ht="30" customHeight="1">
      <c r="A374" s="131" t="n">
        <v>370</v>
      </c>
      <c r="B374" s="130" t="inlineStr"/>
      <c r="C374" s="132" t="inlineStr"/>
      <c r="D374" s="133" t="inlineStr">
        <is>
          <t>Kiger Techno</t>
        </is>
      </c>
      <c r="E374" s="134" t="n">
        <v>6</v>
      </c>
      <c r="F374" s="135" t="inlineStr">
        <is>
          <t>Caspian Blue · Ice Cool White · Moonlight Silver · Oasis Yellow · Shadow Grey · Stealth Black</t>
        </is>
      </c>
      <c r="G374" s="136" t="n">
        <v>6</v>
      </c>
    </row>
    <row r="375" ht="30" customHeight="1">
      <c r="A375" s="29" t="n">
        <v>371</v>
      </c>
      <c r="B375" s="130" t="inlineStr"/>
      <c r="C375" s="31" t="inlineStr">
        <is>
          <t>Kwid</t>
        </is>
      </c>
      <c r="D375" s="32" t="inlineStr">
        <is>
          <t>Kwid Authentic</t>
        </is>
      </c>
      <c r="E375" s="33" t="n">
        <v>2</v>
      </c>
      <c r="F375" s="34" t="inlineStr">
        <is>
          <t>Ice Cool White · Moonlight Silver</t>
        </is>
      </c>
      <c r="G375" s="17" t="n">
        <v>2</v>
      </c>
    </row>
    <row r="376" ht="30" customHeight="1">
      <c r="A376" s="131" t="n">
        <v>372</v>
      </c>
      <c r="B376" s="130" t="inlineStr"/>
      <c r="C376" s="132" t="inlineStr"/>
      <c r="D376" s="133" t="inlineStr">
        <is>
          <t>Kwid CLIMBER</t>
        </is>
      </c>
      <c r="E376" s="134" t="n">
        <v>2</v>
      </c>
      <c r="F376" s="135" t="inlineStr">
        <is>
          <t>Moonlight Silver · Zanskar Blue</t>
        </is>
      </c>
      <c r="G376" s="136" t="n">
        <v>2</v>
      </c>
    </row>
    <row r="377" ht="30" customHeight="1">
      <c r="A377" s="29" t="n">
        <v>373</v>
      </c>
      <c r="B377" s="130" t="inlineStr"/>
      <c r="C377" s="49" t="inlineStr"/>
      <c r="D377" s="32" t="inlineStr">
        <is>
          <t>Kwid Evolution</t>
        </is>
      </c>
      <c r="E377" s="33" t="n">
        <v>5</v>
      </c>
      <c r="F377" s="34" t="inlineStr">
        <is>
          <t>Fiery Red · Ice Cool White · Moonlight Silver · Outback Bronze · Zanskar Blue</t>
        </is>
      </c>
      <c r="G377" s="17" t="n">
        <v>5</v>
      </c>
    </row>
    <row r="378" ht="30" customHeight="1">
      <c r="A378" s="131" t="n">
        <v>374</v>
      </c>
      <c r="B378" s="130" t="inlineStr"/>
      <c r="C378" s="132" t="inlineStr"/>
      <c r="D378" s="133" t="inlineStr">
        <is>
          <t>Kwid Techno</t>
        </is>
      </c>
      <c r="E378" s="134" t="n">
        <v>5</v>
      </c>
      <c r="F378" s="135" t="inlineStr">
        <is>
          <t>Fiery Red · Ice Cool White · Moonlight Silver · Outback Bronze · Zanskar Blue</t>
        </is>
      </c>
      <c r="G378" s="136" t="n">
        <v>5</v>
      </c>
    </row>
    <row r="379" ht="30" customHeight="1">
      <c r="A379" s="29" t="n">
        <v>375</v>
      </c>
      <c r="B379" s="130" t="inlineStr"/>
      <c r="C379" s="31" t="inlineStr">
        <is>
          <t>Lodgy</t>
        </is>
      </c>
      <c r="D379" s="32" t="inlineStr">
        <is>
          <t>Lodgy RXL Stepway</t>
        </is>
      </c>
      <c r="E379" s="33" t="n">
        <v>5</v>
      </c>
      <c r="F379" s="34" t="inlineStr">
        <is>
          <t>Fiery Red · Moonlight Silver · Pearl White · Royal Orchid · Slate Grey</t>
        </is>
      </c>
      <c r="G379" s="17" t="n">
        <v>5</v>
      </c>
    </row>
    <row r="380" ht="30" customHeight="1">
      <c r="A380" s="131" t="n">
        <v>376</v>
      </c>
      <c r="B380" s="130" t="inlineStr"/>
      <c r="C380" s="132" t="inlineStr"/>
      <c r="D380" s="133" t="inlineStr">
        <is>
          <t>Lodgy RxE</t>
        </is>
      </c>
      <c r="E380" s="134" t="n">
        <v>5</v>
      </c>
      <c r="F380" s="135" t="inlineStr">
        <is>
          <t>Fiery Red · Moonlight Silver · Pearl White · Royal Orchid · Slate Grey</t>
        </is>
      </c>
      <c r="G380" s="136" t="n">
        <v>5</v>
      </c>
    </row>
    <row r="381" ht="30" customHeight="1">
      <c r="A381" s="29" t="n">
        <v>377</v>
      </c>
      <c r="B381" s="130" t="inlineStr"/>
      <c r="C381" s="49" t="inlineStr"/>
      <c r="D381" s="32" t="inlineStr">
        <is>
          <t>Lodgy RxL</t>
        </is>
      </c>
      <c r="E381" s="33" t="n">
        <v>3</v>
      </c>
      <c r="F381" s="34" t="inlineStr">
        <is>
          <t>Moonlight Silver · Pearl White · Royal Orchid</t>
        </is>
      </c>
      <c r="G381" s="17" t="n">
        <v>3</v>
      </c>
    </row>
    <row r="382" ht="30" customHeight="1">
      <c r="A382" s="131" t="n">
        <v>378</v>
      </c>
      <c r="B382" s="130" t="inlineStr"/>
      <c r="C382" s="132" t="inlineStr"/>
      <c r="D382" s="133" t="inlineStr">
        <is>
          <t>Lodgy STD</t>
        </is>
      </c>
      <c r="E382" s="134" t="n">
        <v>3</v>
      </c>
      <c r="F382" s="135" t="inlineStr">
        <is>
          <t>Lodgy RXL Stepway · Moonlight Silver · Pearl White</t>
        </is>
      </c>
      <c r="G382" s="136" t="n">
        <v>3</v>
      </c>
    </row>
    <row r="383" ht="30" customHeight="1">
      <c r="A383" s="29" t="n">
        <v>379</v>
      </c>
      <c r="B383" s="130" t="inlineStr"/>
      <c r="C383" s="49" t="inlineStr"/>
      <c r="D383" s="32" t="inlineStr">
        <is>
          <t>Lodgy World</t>
        </is>
      </c>
      <c r="E383" s="33" t="n">
        <v>3</v>
      </c>
      <c r="F383" s="34" t="inlineStr">
        <is>
          <t>Moonlight Silver · Pearl White · Royal Orchid</t>
        </is>
      </c>
      <c r="G383" s="17" t="n">
        <v>3</v>
      </c>
    </row>
    <row r="384" ht="30" customHeight="1">
      <c r="A384" s="131" t="n">
        <v>380</v>
      </c>
      <c r="B384" s="130" t="inlineStr"/>
      <c r="C384" s="137" t="inlineStr">
        <is>
          <t>Triber</t>
        </is>
      </c>
      <c r="D384" s="133" t="inlineStr">
        <is>
          <t>Triber Authentic</t>
        </is>
      </c>
      <c r="E384" s="134" t="n">
        <v>3</v>
      </c>
      <c r="F384" s="135" t="inlineStr">
        <is>
          <t>Ice Cool White · Moonlight Silver · Stealth Black</t>
        </is>
      </c>
      <c r="G384" s="136" t="n">
        <v>3</v>
      </c>
    </row>
    <row r="385" ht="30" customHeight="1">
      <c r="A385" s="29" t="n">
        <v>381</v>
      </c>
      <c r="B385" s="130" t="inlineStr"/>
      <c r="C385" s="49" t="inlineStr"/>
      <c r="D385" s="32" t="inlineStr">
        <is>
          <t>Triber Emotion</t>
        </is>
      </c>
      <c r="E385" s="33" t="n">
        <v>6</v>
      </c>
      <c r="F385" s="34" t="inlineStr">
        <is>
          <t>Amber Terracotta · Ice Cool White · Moonlight Silver · Shadow Grey · Stealth Black · Zanskar Blue</t>
        </is>
      </c>
      <c r="G385" s="17" t="n">
        <v>6</v>
      </c>
    </row>
    <row r="386" ht="30" customHeight="1">
      <c r="A386" s="131" t="n">
        <v>382</v>
      </c>
      <c r="B386" s="130" t="inlineStr"/>
      <c r="C386" s="132" t="inlineStr"/>
      <c r="D386" s="133" t="inlineStr">
        <is>
          <t>Triber Evolution</t>
        </is>
      </c>
      <c r="E386" s="134" t="n">
        <v>5</v>
      </c>
      <c r="F386" s="135" t="inlineStr">
        <is>
          <t>Ice Cool White · Moonlight Silver · Shadow Grey · Stealth Black · Zanskar Blue</t>
        </is>
      </c>
      <c r="G386" s="136" t="n">
        <v>5</v>
      </c>
    </row>
    <row r="387" ht="30" customHeight="1">
      <c r="A387" s="29" t="n">
        <v>383</v>
      </c>
      <c r="B387" s="130" t="inlineStr"/>
      <c r="C387" s="49" t="inlineStr"/>
      <c r="D387" s="32" t="inlineStr">
        <is>
          <t>Triber Techno</t>
        </is>
      </c>
      <c r="E387" s="33" t="n">
        <v>6</v>
      </c>
      <c r="F387" s="34" t="inlineStr">
        <is>
          <t>Amber Terracotta · Ice Cool White · Moonlight Silver · Shadow Grey · Stealth Black · Zanskar Blue</t>
        </is>
      </c>
      <c r="G387" s="17" t="n">
        <v>6</v>
      </c>
    </row>
    <row r="388" ht="30" customHeight="1">
      <c r="A388" s="138" t="n">
        <v>384</v>
      </c>
      <c r="B388" s="139" t="inlineStr">
        <is>
          <t>Skoda</t>
        </is>
      </c>
      <c r="C388" s="140" t="inlineStr">
        <is>
          <t>Kodiaq</t>
        </is>
      </c>
      <c r="D388" s="141" t="inlineStr">
        <is>
          <t>Kodiaq L&amp;K</t>
        </is>
      </c>
      <c r="E388" s="142" t="n">
        <v>7</v>
      </c>
      <c r="F388" s="143" t="inlineStr">
        <is>
          <t>Bronx Gold Metallic · Graphite Grey Metallic · Magic Black Metallic · Moon White Metallic · Race Blue Metallic · Steel Grey · Velvet Red Metallic</t>
        </is>
      </c>
      <c r="G388" s="144" t="n">
        <v>7</v>
      </c>
    </row>
    <row r="389" ht="30" customHeight="1">
      <c r="A389" s="29" t="n">
        <v>385</v>
      </c>
      <c r="B389" s="139" t="inlineStr"/>
      <c r="C389" s="49" t="inlineStr"/>
      <c r="D389" s="32" t="inlineStr">
        <is>
          <t>Kodiaq Lounge</t>
        </is>
      </c>
      <c r="E389" s="33" t="n">
        <v>7</v>
      </c>
      <c r="F389" s="34" t="inlineStr">
        <is>
          <t>Bronx Gold Metallic · Graphite Grey Metallic · Magic Black Metallic · Moon White Metallic · Race Blue Metallic · Steel Grey · Velvet Red Metallic</t>
        </is>
      </c>
      <c r="G389" s="17" t="n">
        <v>7</v>
      </c>
    </row>
    <row r="390" ht="30" customHeight="1">
      <c r="A390" s="138" t="n">
        <v>386</v>
      </c>
      <c r="B390" s="139" t="inlineStr"/>
      <c r="C390" s="145" t="inlineStr"/>
      <c r="D390" s="141" t="inlineStr">
        <is>
          <t>Kodiaq Sportline</t>
        </is>
      </c>
      <c r="E390" s="142" t="n">
        <v>7</v>
      </c>
      <c r="F390" s="143" t="inlineStr">
        <is>
          <t>Bronx Gold Metallic · Graphite Grey Metallic · Magic Black Metallic · Moon White Metallic · Race Blue Metallic · Steel Grey · Velvet Red Metallic</t>
        </is>
      </c>
      <c r="G390" s="144" t="n">
        <v>7</v>
      </c>
    </row>
    <row r="391" ht="30" customHeight="1">
      <c r="A391" s="29" t="n">
        <v>387</v>
      </c>
      <c r="B391" s="139" t="inlineStr"/>
      <c r="C391" s="31" t="inlineStr">
        <is>
          <t>Kushaq</t>
        </is>
      </c>
      <c r="D391" s="32" t="inlineStr">
        <is>
          <t>Kushaq Classic Plus</t>
        </is>
      </c>
      <c r="E391" s="33" t="n">
        <v>6</v>
      </c>
      <c r="F391" s="34" t="inlineStr">
        <is>
          <t>Brilliant Silver · Candy White · Carbon Steel · Cherry Red · Deep Black · Lava Blue</t>
        </is>
      </c>
      <c r="G391" s="17" t="n">
        <v>6</v>
      </c>
    </row>
    <row r="392" ht="30" customHeight="1">
      <c r="A392" s="138" t="n">
        <v>388</v>
      </c>
      <c r="B392" s="139" t="inlineStr"/>
      <c r="C392" s="145" t="inlineStr"/>
      <c r="D392" s="141" t="inlineStr">
        <is>
          <t>Kushaq Monte Carlo</t>
        </is>
      </c>
      <c r="E392" s="142" t="n">
        <v>7</v>
      </c>
      <c r="F392" s="143" t="inlineStr">
        <is>
          <t>Brilliant Silver with Black Roof · Candy White with Black Roof · Cherry Red with Black Roof · Deep Black · Lava Blue · Shimla Green with Black Roof · Steel Grey with Black Roof</t>
        </is>
      </c>
      <c r="G392" s="144" t="n">
        <v>7</v>
      </c>
    </row>
    <row r="393" ht="30" customHeight="1">
      <c r="A393" s="29" t="n">
        <v>389</v>
      </c>
      <c r="B393" s="139" t="inlineStr"/>
      <c r="C393" s="49" t="inlineStr"/>
      <c r="D393" s="32" t="inlineStr">
        <is>
          <t>Kushaq Prestige</t>
        </is>
      </c>
      <c r="E393" s="33" t="n">
        <v>8</v>
      </c>
      <c r="F393" s="34" t="inlineStr">
        <is>
          <t>Brilliant Silver · Candy White · Carbon Steel · Cherry Red · Deep Black · Lava Blue · Shimla Green · Steel Grey</t>
        </is>
      </c>
      <c r="G393" s="17" t="n">
        <v>8</v>
      </c>
    </row>
    <row r="394" ht="30" customHeight="1">
      <c r="A394" s="138" t="n">
        <v>390</v>
      </c>
      <c r="B394" s="139" t="inlineStr"/>
      <c r="C394" s="145" t="inlineStr"/>
      <c r="D394" s="141" t="inlineStr">
        <is>
          <t>Kushaq Signature</t>
        </is>
      </c>
      <c r="E394" s="142" t="n">
        <v>6</v>
      </c>
      <c r="F394" s="143" t="inlineStr">
        <is>
          <t>Brilliant Silver · Candy White · Carbon Steel · Cherry Red · Deep Black · Lava Blue</t>
        </is>
      </c>
      <c r="G394" s="144" t="n">
        <v>6</v>
      </c>
    </row>
    <row r="395" ht="30" customHeight="1">
      <c r="A395" s="29" t="n">
        <v>391</v>
      </c>
      <c r="B395" s="139" t="inlineStr"/>
      <c r="C395" s="49" t="inlineStr"/>
      <c r="D395" s="32" t="inlineStr">
        <is>
          <t>Kushaq Sportline</t>
        </is>
      </c>
      <c r="E395" s="33" t="n">
        <v>8</v>
      </c>
      <c r="F395" s="34" t="inlineStr">
        <is>
          <t>Brilliant Silver · Candy White · Carbon Steel · Cherry Red · Deep Black · Lava Blue · Shimla Green · Steel Grey</t>
        </is>
      </c>
      <c r="G395" s="17" t="n">
        <v>8</v>
      </c>
    </row>
    <row r="396" ht="30" customHeight="1">
      <c r="A396" s="138" t="n">
        <v>392</v>
      </c>
      <c r="B396" s="139" t="inlineStr"/>
      <c r="C396" s="140" t="inlineStr">
        <is>
          <t>Kylaq</t>
        </is>
      </c>
      <c r="D396" s="141" t="inlineStr">
        <is>
          <t>Kylaq Classic</t>
        </is>
      </c>
      <c r="E396" s="142" t="n">
        <v>4</v>
      </c>
      <c r="F396" s="143" t="inlineStr">
        <is>
          <t>Brilliant Silver · Candy White · Carbon Steel · Cherry Red</t>
        </is>
      </c>
      <c r="G396" s="144" t="n">
        <v>4</v>
      </c>
    </row>
    <row r="397" ht="30" customHeight="1">
      <c r="A397" s="29" t="n">
        <v>393</v>
      </c>
      <c r="B397" s="139" t="inlineStr"/>
      <c r="C397" s="49" t="inlineStr"/>
      <c r="D397" s="32" t="inlineStr">
        <is>
          <t>Kylaq Classic Plus</t>
        </is>
      </c>
      <c r="E397" s="33" t="n">
        <v>6</v>
      </c>
      <c r="F397" s="34" t="inlineStr">
        <is>
          <t>Brilliant Silver · Candy White · Carbon Steel · Cherry Red · Deep Black · Lava Blue</t>
        </is>
      </c>
      <c r="G397" s="17" t="n">
        <v>6</v>
      </c>
    </row>
    <row r="398" ht="30" customHeight="1">
      <c r="A398" s="138" t="n">
        <v>394</v>
      </c>
      <c r="B398" s="139" t="inlineStr"/>
      <c r="C398" s="145" t="inlineStr"/>
      <c r="D398" s="141" t="inlineStr">
        <is>
          <t>Kylaq Prestige</t>
        </is>
      </c>
      <c r="E398" s="142" t="n">
        <v>6</v>
      </c>
      <c r="F398" s="143" t="inlineStr">
        <is>
          <t>Brilliant Silver · Candy White · Carbon Steel · Cherry Red · Deep Black · Lava Blue</t>
        </is>
      </c>
      <c r="G398" s="144" t="n">
        <v>6</v>
      </c>
    </row>
    <row r="399" ht="30" customHeight="1">
      <c r="A399" s="29" t="n">
        <v>395</v>
      </c>
      <c r="B399" s="139" t="inlineStr"/>
      <c r="C399" s="49" t="inlineStr"/>
      <c r="D399" s="32" t="inlineStr">
        <is>
          <t>Kylaq Prestige Plus</t>
        </is>
      </c>
      <c r="E399" s="33" t="n">
        <v>6</v>
      </c>
      <c r="F399" s="34" t="inlineStr">
        <is>
          <t>Brilliant Silver · Candy White · Carbon Steel · Cherry Red · Deep Black · Lava Blue</t>
        </is>
      </c>
      <c r="G399" s="17" t="n">
        <v>6</v>
      </c>
    </row>
    <row r="400" ht="30" customHeight="1">
      <c r="A400" s="138" t="n">
        <v>396</v>
      </c>
      <c r="B400" s="139" t="inlineStr"/>
      <c r="C400" s="145" t="inlineStr"/>
      <c r="D400" s="141" t="inlineStr">
        <is>
          <t>Kylaq Signature</t>
        </is>
      </c>
      <c r="E400" s="142" t="n">
        <v>6</v>
      </c>
      <c r="F400" s="143" t="inlineStr">
        <is>
          <t>Brilliant Silver · Candy White · Carbon Steel · Cherry Red · Deep Black · Lava Blue</t>
        </is>
      </c>
      <c r="G400" s="144" t="n">
        <v>6</v>
      </c>
    </row>
    <row r="401" ht="30" customHeight="1">
      <c r="A401" s="29" t="n">
        <v>397</v>
      </c>
      <c r="B401" s="139" t="inlineStr"/>
      <c r="C401" s="49" t="inlineStr"/>
      <c r="D401" s="32" t="inlineStr">
        <is>
          <t>Kylaq Signature Plus</t>
        </is>
      </c>
      <c r="E401" s="33" t="n">
        <v>6</v>
      </c>
      <c r="F401" s="34" t="inlineStr">
        <is>
          <t>Brilliant Silver · Candy White · Carbon Steel · Cherry Red · Deep Black · Lava Blue</t>
        </is>
      </c>
      <c r="G401" s="17" t="n">
        <v>6</v>
      </c>
    </row>
    <row r="402" ht="30" customHeight="1">
      <c r="A402" s="138" t="n">
        <v>398</v>
      </c>
      <c r="B402" s="139" t="inlineStr"/>
      <c r="C402" s="145" t="inlineStr"/>
      <c r="D402" s="141" t="inlineStr">
        <is>
          <t>Kylaq Sportline</t>
        </is>
      </c>
      <c r="E402" s="142" t="n">
        <v>2</v>
      </c>
      <c r="F402" s="143" t="inlineStr">
        <is>
          <t>Candy White · Deep Black</t>
        </is>
      </c>
      <c r="G402" s="144" t="n">
        <v>2</v>
      </c>
    </row>
    <row r="403" ht="30" customHeight="1">
      <c r="A403" s="29" t="n">
        <v>399</v>
      </c>
      <c r="B403" s="139" t="inlineStr"/>
      <c r="C403" s="31" t="inlineStr">
        <is>
          <t>Octavia</t>
        </is>
      </c>
      <c r="D403" s="32" t="inlineStr">
        <is>
          <t>Octavia RS 2.0 TSI</t>
        </is>
      </c>
      <c r="E403" s="33" t="n">
        <v>5</v>
      </c>
      <c r="F403" s="34" t="inlineStr">
        <is>
          <t>Candy White · Magic Black · Mamba Green · Race Blue · Velvet Red</t>
        </is>
      </c>
      <c r="G403" s="17" t="n">
        <v>5</v>
      </c>
    </row>
    <row r="404" ht="30" customHeight="1">
      <c r="A404" s="138" t="n">
        <v>400</v>
      </c>
      <c r="B404" s="139" t="inlineStr"/>
      <c r="C404" s="140" t="inlineStr">
        <is>
          <t>Rapid</t>
        </is>
      </c>
      <c r="D404" s="141" t="inlineStr">
        <is>
          <t>Rapid Active</t>
        </is>
      </c>
      <c r="E404" s="142" t="n">
        <v>4</v>
      </c>
      <c r="F404" s="143" t="inlineStr">
        <is>
          <t>Brilliant Silver · Candy White · Cappuccino Beige · Carbon Steel</t>
        </is>
      </c>
      <c r="G404" s="144" t="n">
        <v>4</v>
      </c>
    </row>
    <row r="405" ht="30" customHeight="1">
      <c r="A405" s="29" t="n">
        <v>401</v>
      </c>
      <c r="B405" s="139" t="inlineStr"/>
      <c r="C405" s="49" t="inlineStr"/>
      <c r="D405" s="32" t="inlineStr">
        <is>
          <t>Rapid Ambition</t>
        </is>
      </c>
      <c r="E405" s="33" t="n">
        <v>4</v>
      </c>
      <c r="F405" s="34" t="inlineStr">
        <is>
          <t>Brilliant Silver · Candy White · Cappuccino Beige · Carbon Steel</t>
        </is>
      </c>
      <c r="G405" s="17" t="n">
        <v>4</v>
      </c>
    </row>
    <row r="406" ht="30" customHeight="1">
      <c r="A406" s="138" t="n">
        <v>402</v>
      </c>
      <c r="B406" s="139" t="inlineStr"/>
      <c r="C406" s="145" t="inlineStr"/>
      <c r="D406" s="141" t="inlineStr">
        <is>
          <t>Rapid Monte Carlo</t>
        </is>
      </c>
      <c r="E406" s="142" t="n">
        <v>4</v>
      </c>
      <c r="F406" s="143" t="inlineStr">
        <is>
          <t>Brilliant Silver · Candy White · Cappuccino Beige · Carbon Steel</t>
        </is>
      </c>
      <c r="G406" s="144" t="n">
        <v>4</v>
      </c>
    </row>
    <row r="407" ht="30" customHeight="1">
      <c r="A407" s="29" t="n">
        <v>403</v>
      </c>
      <c r="B407" s="139" t="inlineStr"/>
      <c r="C407" s="49" t="inlineStr"/>
      <c r="D407" s="32" t="inlineStr">
        <is>
          <t>Rapid ONYX LE</t>
        </is>
      </c>
      <c r="E407" s="33" t="n">
        <v>1</v>
      </c>
      <c r="F407" s="34" t="inlineStr">
        <is>
          <t>Lapiz Blue</t>
        </is>
      </c>
      <c r="G407" s="17" t="n">
        <v>1</v>
      </c>
    </row>
    <row r="408" ht="30" customHeight="1">
      <c r="A408" s="138" t="n">
        <v>404</v>
      </c>
      <c r="B408" s="139" t="inlineStr"/>
      <c r="C408" s="145" t="inlineStr"/>
      <c r="D408" s="141" t="inlineStr">
        <is>
          <t>Rapid Rider</t>
        </is>
      </c>
      <c r="E408" s="142" t="n">
        <v>4</v>
      </c>
      <c r="F408" s="143" t="inlineStr">
        <is>
          <t>Brilliant Silver · Candy White · Cappuccino Beige · Carbon Steel</t>
        </is>
      </c>
      <c r="G408" s="144" t="n">
        <v>4</v>
      </c>
    </row>
    <row r="409" ht="30" customHeight="1">
      <c r="A409" s="29" t="n">
        <v>405</v>
      </c>
      <c r="B409" s="139" t="inlineStr"/>
      <c r="C409" s="31" t="inlineStr">
        <is>
          <t>Slavia</t>
        </is>
      </c>
      <c r="D409" s="32" t="inlineStr">
        <is>
          <t>Slavia Classic</t>
        </is>
      </c>
      <c r="E409" s="33" t="n">
        <v>2</v>
      </c>
      <c r="F409" s="34" t="inlineStr">
        <is>
          <t>Brilliant Silver · Carbon Steel</t>
        </is>
      </c>
      <c r="G409" s="17" t="n">
        <v>2</v>
      </c>
    </row>
    <row r="410" ht="30" customHeight="1">
      <c r="A410" s="138" t="n">
        <v>406</v>
      </c>
      <c r="B410" s="139" t="inlineStr"/>
      <c r="C410" s="145" t="inlineStr"/>
      <c r="D410" s="141" t="inlineStr">
        <is>
          <t>Slavia Monte Carlo</t>
        </is>
      </c>
      <c r="E410" s="142" t="n">
        <v>1</v>
      </c>
      <c r="F410" s="143" t="inlineStr">
        <is>
          <t>Carbon Steel</t>
        </is>
      </c>
      <c r="G410" s="144" t="n">
        <v>1</v>
      </c>
    </row>
    <row r="411" ht="30" customHeight="1">
      <c r="A411" s="29" t="n">
        <v>407</v>
      </c>
      <c r="B411" s="139" t="inlineStr"/>
      <c r="C411" s="49" t="inlineStr"/>
      <c r="D411" s="32" t="inlineStr">
        <is>
          <t>Slavia Prestige</t>
        </is>
      </c>
      <c r="E411" s="33" t="n">
        <v>4</v>
      </c>
      <c r="F411" s="34" t="inlineStr">
        <is>
          <t>Brilliant Silver · Carbon Steel · Deep Black · Lava Blue</t>
        </is>
      </c>
      <c r="G411" s="17" t="n">
        <v>4</v>
      </c>
    </row>
    <row r="412" ht="30" customHeight="1">
      <c r="A412" s="138" t="n">
        <v>408</v>
      </c>
      <c r="B412" s="139" t="inlineStr"/>
      <c r="C412" s="145" t="inlineStr"/>
      <c r="D412" s="141" t="inlineStr">
        <is>
          <t>Slavia Signature</t>
        </is>
      </c>
      <c r="E412" s="142" t="n">
        <v>4</v>
      </c>
      <c r="F412" s="143" t="inlineStr">
        <is>
          <t>Brilliant Silver · Carbon Steel · Deep Black · Lava Blue</t>
        </is>
      </c>
      <c r="G412" s="144" t="n">
        <v>4</v>
      </c>
    </row>
    <row r="413" ht="30" customHeight="1">
      <c r="A413" s="29" t="n">
        <v>409</v>
      </c>
      <c r="B413" s="139" t="inlineStr"/>
      <c r="C413" s="49" t="inlineStr"/>
      <c r="D413" s="32" t="inlineStr">
        <is>
          <t>Slavia Sportline</t>
        </is>
      </c>
      <c r="E413" s="33" t="n">
        <v>2</v>
      </c>
      <c r="F413" s="34" t="inlineStr">
        <is>
          <t>Brilliant Silver · Carbon Steel</t>
        </is>
      </c>
      <c r="G413" s="17" t="n">
        <v>2</v>
      </c>
    </row>
    <row r="414" ht="30" customHeight="1">
      <c r="A414" s="43" t="n">
        <v>410</v>
      </c>
      <c r="B414" s="42" t="inlineStr">
        <is>
          <t>Tata</t>
        </is>
      </c>
      <c r="C414" s="50" t="inlineStr">
        <is>
          <t>Altroz</t>
        </is>
      </c>
      <c r="D414" s="45" t="inlineStr">
        <is>
          <t>Altroz Accomplished Plus S</t>
        </is>
      </c>
      <c r="E414" s="46" t="n">
        <v>0</v>
      </c>
      <c r="F414" s="47" t="inlineStr">
        <is>
          <t>—</t>
        </is>
      </c>
      <c r="G414" s="48" t="n">
        <v>0</v>
      </c>
    </row>
    <row r="415" ht="30" customHeight="1">
      <c r="A415" s="29" t="n">
        <v>411</v>
      </c>
      <c r="B415" s="42" t="inlineStr"/>
      <c r="C415" s="49" t="inlineStr"/>
      <c r="D415" s="32" t="inlineStr">
        <is>
          <t>Altroz Accomplished S</t>
        </is>
      </c>
      <c r="E415" s="33" t="n">
        <v>0</v>
      </c>
      <c r="F415" s="34" t="inlineStr">
        <is>
          <t>—</t>
        </is>
      </c>
      <c r="G415" s="17" t="n">
        <v>0</v>
      </c>
    </row>
    <row r="416" ht="30" customHeight="1">
      <c r="A416" s="43" t="n">
        <v>412</v>
      </c>
      <c r="B416" s="42" t="inlineStr"/>
      <c r="C416" s="44" t="inlineStr"/>
      <c r="D416" s="45" t="inlineStr">
        <is>
          <t>Altroz Creative</t>
        </is>
      </c>
      <c r="E416" s="46" t="n">
        <v>0</v>
      </c>
      <c r="F416" s="47" t="inlineStr">
        <is>
          <t>—</t>
        </is>
      </c>
      <c r="G416" s="48" t="n">
        <v>0</v>
      </c>
    </row>
    <row r="417" ht="30" customHeight="1">
      <c r="A417" s="29" t="n">
        <v>413</v>
      </c>
      <c r="B417" s="42" t="inlineStr"/>
      <c r="C417" s="49" t="inlineStr"/>
      <c r="D417" s="32" t="inlineStr">
        <is>
          <t>Altroz Creative S</t>
        </is>
      </c>
      <c r="E417" s="33" t="n">
        <v>0</v>
      </c>
      <c r="F417" s="34" t="inlineStr">
        <is>
          <t>—</t>
        </is>
      </c>
      <c r="G417" s="17" t="n">
        <v>0</v>
      </c>
    </row>
    <row r="418" ht="30" customHeight="1">
      <c r="A418" s="43" t="n">
        <v>414</v>
      </c>
      <c r="B418" s="42" t="inlineStr"/>
      <c r="C418" s="44" t="inlineStr"/>
      <c r="D418" s="45" t="inlineStr">
        <is>
          <t>Altroz Pure</t>
        </is>
      </c>
      <c r="E418" s="46" t="n">
        <v>0</v>
      </c>
      <c r="F418" s="47" t="inlineStr">
        <is>
          <t>—</t>
        </is>
      </c>
      <c r="G418" s="48" t="n">
        <v>0</v>
      </c>
    </row>
    <row r="419" ht="30" customHeight="1">
      <c r="A419" s="29" t="n">
        <v>415</v>
      </c>
      <c r="B419" s="42" t="inlineStr"/>
      <c r="C419" s="49" t="inlineStr"/>
      <c r="D419" s="32" t="inlineStr">
        <is>
          <t>Altroz Pure S</t>
        </is>
      </c>
      <c r="E419" s="33" t="n">
        <v>0</v>
      </c>
      <c r="F419" s="34" t="inlineStr">
        <is>
          <t>—</t>
        </is>
      </c>
      <c r="G419" s="17" t="n">
        <v>0</v>
      </c>
    </row>
    <row r="420" ht="30" customHeight="1">
      <c r="A420" s="43" t="n">
        <v>416</v>
      </c>
      <c r="B420" s="42" t="inlineStr"/>
      <c r="C420" s="44" t="inlineStr"/>
      <c r="D420" s="45" t="inlineStr">
        <is>
          <t>Altroz Smart</t>
        </is>
      </c>
      <c r="E420" s="46" t="n">
        <v>0</v>
      </c>
      <c r="F420" s="47" t="inlineStr">
        <is>
          <t>—</t>
        </is>
      </c>
      <c r="G420" s="48" t="n">
        <v>0</v>
      </c>
    </row>
    <row r="421" ht="30" customHeight="1">
      <c r="A421" s="29" t="n">
        <v>417</v>
      </c>
      <c r="B421" s="42" t="inlineStr"/>
      <c r="C421" s="31" t="inlineStr">
        <is>
          <t>Curvv</t>
        </is>
      </c>
      <c r="D421" s="32" t="inlineStr">
        <is>
          <t>Curvv Accomplished Plus A</t>
        </is>
      </c>
      <c r="E421" s="33" t="n">
        <v>5</v>
      </c>
      <c r="F421" s="34" t="inlineStr">
        <is>
          <t>Flame Red With Black Roof · Gold Essence With Black Roof · Opera Blue With Black Roof · Pristine White With Black Roof · Pure Grey With Black Roof</t>
        </is>
      </c>
      <c r="G421" s="17" t="n">
        <v>5</v>
      </c>
    </row>
    <row r="422" ht="30" customHeight="1">
      <c r="A422" s="43" t="n">
        <v>418</v>
      </c>
      <c r="B422" s="42" t="inlineStr"/>
      <c r="C422" s="44" t="inlineStr"/>
      <c r="D422" s="45" t="inlineStr">
        <is>
          <t>Curvv Accomplished S</t>
        </is>
      </c>
      <c r="E422" s="46" t="n">
        <v>5</v>
      </c>
      <c r="F422" s="47" t="inlineStr">
        <is>
          <t>Flame Red With Black Roof · Gold Essence With Black Roof · Opera Blue With Black Roof · Pristine White With Black Roof · Pure Grey With Black Roof</t>
        </is>
      </c>
      <c r="G422" s="48" t="n">
        <v>5</v>
      </c>
    </row>
    <row r="423" ht="30" customHeight="1">
      <c r="A423" s="29" t="n">
        <v>419</v>
      </c>
      <c r="B423" s="42" t="inlineStr"/>
      <c r="C423" s="49" t="inlineStr"/>
      <c r="D423" s="32" t="inlineStr">
        <is>
          <t>Curvv Creative</t>
        </is>
      </c>
      <c r="E423" s="33" t="n">
        <v>4</v>
      </c>
      <c r="F423" s="34" t="inlineStr">
        <is>
          <t>Daytona Grey · Flame Red · Opera Blue · Pristine White</t>
        </is>
      </c>
      <c r="G423" s="17" t="n">
        <v>4</v>
      </c>
    </row>
    <row r="424" ht="30" customHeight="1">
      <c r="A424" s="43" t="n">
        <v>420</v>
      </c>
      <c r="B424" s="42" t="inlineStr"/>
      <c r="C424" s="44" t="inlineStr"/>
      <c r="D424" s="45" t="inlineStr">
        <is>
          <t>Curvv Creative Plus S</t>
        </is>
      </c>
      <c r="E424" s="46" t="n">
        <v>4</v>
      </c>
      <c r="F424" s="47" t="inlineStr">
        <is>
          <t>Flame Red With Black Roof · Opera Blue With Black Roof · Pristine White With Black Roof · Pure Grey With Black Roof</t>
        </is>
      </c>
      <c r="G424" s="48" t="n">
        <v>4</v>
      </c>
    </row>
    <row r="425" ht="30" customHeight="1">
      <c r="A425" s="29" t="n">
        <v>421</v>
      </c>
      <c r="B425" s="42" t="inlineStr"/>
      <c r="C425" s="49" t="inlineStr"/>
      <c r="D425" s="32" t="inlineStr">
        <is>
          <t>Curvv Creative S</t>
        </is>
      </c>
      <c r="E425" s="33" t="n">
        <v>4</v>
      </c>
      <c r="F425" s="34" t="inlineStr">
        <is>
          <t>Daytona Grey · Flame Red · Opera Blue · Pristine White</t>
        </is>
      </c>
      <c r="G425" s="17" t="n">
        <v>4</v>
      </c>
    </row>
    <row r="426" ht="30" customHeight="1">
      <c r="A426" s="43" t="n">
        <v>422</v>
      </c>
      <c r="B426" s="42" t="inlineStr"/>
      <c r="C426" s="44" t="inlineStr"/>
      <c r="D426" s="45" t="inlineStr">
        <is>
          <t>Curvv Pure Plus</t>
        </is>
      </c>
      <c r="E426" s="46" t="n">
        <v>4</v>
      </c>
      <c r="F426" s="47" t="inlineStr">
        <is>
          <t>Daytona Grey · Flame Red · Opera Blue · Pristine White</t>
        </is>
      </c>
      <c r="G426" s="48" t="n">
        <v>4</v>
      </c>
    </row>
    <row r="427" ht="30" customHeight="1">
      <c r="A427" s="29" t="n">
        <v>423</v>
      </c>
      <c r="B427" s="42" t="inlineStr"/>
      <c r="C427" s="49" t="inlineStr"/>
      <c r="D427" s="32" t="inlineStr">
        <is>
          <t>Curvv Pure Plus S</t>
        </is>
      </c>
      <c r="E427" s="33" t="n">
        <v>4</v>
      </c>
      <c r="F427" s="34" t="inlineStr">
        <is>
          <t>Daytona Grey · Flame Red · Opera Blue · Pristine White</t>
        </is>
      </c>
      <c r="G427" s="17" t="n">
        <v>4</v>
      </c>
    </row>
    <row r="428" ht="30" customHeight="1">
      <c r="A428" s="43" t="n">
        <v>424</v>
      </c>
      <c r="B428" s="42" t="inlineStr"/>
      <c r="C428" s="44" t="inlineStr"/>
      <c r="D428" s="45" t="inlineStr">
        <is>
          <t>Curvv Smart</t>
        </is>
      </c>
      <c r="E428" s="46" t="n">
        <v>2</v>
      </c>
      <c r="F428" s="47" t="inlineStr">
        <is>
          <t>Daytona Grey · Pristine White</t>
        </is>
      </c>
      <c r="G428" s="48" t="n">
        <v>2</v>
      </c>
    </row>
    <row r="429" ht="30" customHeight="1">
      <c r="A429" s="29" t="n">
        <v>425</v>
      </c>
      <c r="B429" s="42" t="inlineStr"/>
      <c r="C429" s="31" t="inlineStr">
        <is>
          <t>Harrier</t>
        </is>
      </c>
      <c r="D429" s="32" t="inlineStr">
        <is>
          <t>Harrier Adventure X</t>
        </is>
      </c>
      <c r="E429" s="33" t="n">
        <v>5</v>
      </c>
      <c r="F429" s="34" t="inlineStr">
        <is>
          <t>Daytona Grey · Fearless Red · Pristine White · Pure Grey · Seaweed Green</t>
        </is>
      </c>
      <c r="G429" s="17" t="n">
        <v>5</v>
      </c>
    </row>
    <row r="430" ht="30" customHeight="1">
      <c r="A430" s="43" t="n">
        <v>426</v>
      </c>
      <c r="B430" s="42" t="inlineStr"/>
      <c r="C430" s="44" t="inlineStr"/>
      <c r="D430" s="45" t="inlineStr">
        <is>
          <t>Harrier Adventure X Dark Edition</t>
        </is>
      </c>
      <c r="E430" s="46" t="n">
        <v>1</v>
      </c>
      <c r="F430" s="47" t="inlineStr">
        <is>
          <t>Carbon Black</t>
        </is>
      </c>
      <c r="G430" s="48" t="n">
        <v>1</v>
      </c>
    </row>
    <row r="431" ht="30" customHeight="1">
      <c r="A431" s="29" t="n">
        <v>427</v>
      </c>
      <c r="B431" s="42" t="inlineStr"/>
      <c r="C431" s="49" t="inlineStr"/>
      <c r="D431" s="32" t="inlineStr">
        <is>
          <t>Harrier Adventure X Plus</t>
        </is>
      </c>
      <c r="E431" s="33" t="n">
        <v>4</v>
      </c>
      <c r="F431" s="34" t="inlineStr">
        <is>
          <t>Daytona Grey · Fearless Red · Pristine White · Pure Grey</t>
        </is>
      </c>
      <c r="G431" s="17" t="n">
        <v>4</v>
      </c>
    </row>
    <row r="432" ht="30" customHeight="1">
      <c r="A432" s="43" t="n">
        <v>428</v>
      </c>
      <c r="B432" s="42" t="inlineStr"/>
      <c r="C432" s="44" t="inlineStr"/>
      <c r="D432" s="45" t="inlineStr">
        <is>
          <t>Harrier Adventure X Plus Dark Edition</t>
        </is>
      </c>
      <c r="E432" s="46" t="n">
        <v>1</v>
      </c>
      <c r="F432" s="47" t="inlineStr">
        <is>
          <t>Carbon Black</t>
        </is>
      </c>
      <c r="G432" s="48" t="n">
        <v>1</v>
      </c>
    </row>
    <row r="433" ht="30" customHeight="1">
      <c r="A433" s="29" t="n">
        <v>429</v>
      </c>
      <c r="B433" s="42" t="inlineStr"/>
      <c r="C433" s="49" t="inlineStr"/>
      <c r="D433" s="32" t="inlineStr">
        <is>
          <t>Harrier Fearless Plus Dark Edition</t>
        </is>
      </c>
      <c r="E433" s="33" t="n">
        <v>1</v>
      </c>
      <c r="F433" s="34" t="inlineStr">
        <is>
          <t>Carbon Black</t>
        </is>
      </c>
      <c r="G433" s="17" t="n">
        <v>1</v>
      </c>
    </row>
    <row r="434" ht="30" customHeight="1">
      <c r="A434" s="43" t="n">
        <v>430</v>
      </c>
      <c r="B434" s="42" t="inlineStr"/>
      <c r="C434" s="44" t="inlineStr"/>
      <c r="D434" s="45" t="inlineStr">
        <is>
          <t>Harrier Fearless Ultra</t>
        </is>
      </c>
      <c r="E434" s="46" t="n">
        <v>1</v>
      </c>
      <c r="F434" s="47" t="inlineStr">
        <is>
          <t>Nitro Crimson With Dual Tone</t>
        </is>
      </c>
      <c r="G434" s="48" t="n">
        <v>1</v>
      </c>
    </row>
    <row r="435" ht="30" customHeight="1">
      <c r="A435" s="29" t="n">
        <v>431</v>
      </c>
      <c r="B435" s="42" t="inlineStr"/>
      <c r="C435" s="49" t="inlineStr"/>
      <c r="D435" s="32" t="inlineStr">
        <is>
          <t>Harrier Fearless Ultra Red Dark</t>
        </is>
      </c>
      <c r="E435" s="33" t="n">
        <v>1</v>
      </c>
      <c r="F435" s="34" t="inlineStr">
        <is>
          <t>Ultra_Red_dark</t>
        </is>
      </c>
      <c r="G435" s="17" t="n">
        <v>1</v>
      </c>
    </row>
    <row r="436" ht="30" customHeight="1">
      <c r="A436" s="43" t="n">
        <v>432</v>
      </c>
      <c r="B436" s="42" t="inlineStr"/>
      <c r="C436" s="44" t="inlineStr"/>
      <c r="D436" s="45" t="inlineStr">
        <is>
          <t>Harrier Fearless X</t>
        </is>
      </c>
      <c r="E436" s="46" t="n">
        <v>5</v>
      </c>
      <c r="F436" s="47" t="inlineStr">
        <is>
          <t>Daytona Grey With Dual Tone · Fearless Red With Dual Tone · Pristine White With Dual Tone · Pure Grey With Dual Tone · Seaweed Green With Dual Tone</t>
        </is>
      </c>
      <c r="G436" s="48" t="n">
        <v>5</v>
      </c>
    </row>
    <row r="437" ht="30" customHeight="1">
      <c r="A437" s="29" t="n">
        <v>433</v>
      </c>
      <c r="B437" s="42" t="inlineStr"/>
      <c r="C437" s="49" t="inlineStr"/>
      <c r="D437" s="32" t="inlineStr">
        <is>
          <t>Harrier Fearless X Dark Edition</t>
        </is>
      </c>
      <c r="E437" s="33" t="n">
        <v>1</v>
      </c>
      <c r="F437" s="34" t="inlineStr">
        <is>
          <t>Carbon Black</t>
        </is>
      </c>
      <c r="G437" s="17" t="n">
        <v>1</v>
      </c>
    </row>
    <row r="438" ht="30" customHeight="1">
      <c r="A438" s="43" t="n">
        <v>434</v>
      </c>
      <c r="B438" s="42" t="inlineStr"/>
      <c r="C438" s="44" t="inlineStr"/>
      <c r="D438" s="45" t="inlineStr">
        <is>
          <t>Harrier Fearless X Plus</t>
        </is>
      </c>
      <c r="E438" s="46" t="n">
        <v>6</v>
      </c>
      <c r="F438" s="47" t="inlineStr">
        <is>
          <t>Daytona Grey With Dual Tone · Fearless Red With Dual Tone · Pristine White With Dual Tone · Pure Grey With Dual Tone · Seaweed Green With Dual Tone · Sunlit Yellow With Dual Tone</t>
        </is>
      </c>
      <c r="G438" s="48" t="n">
        <v>6</v>
      </c>
    </row>
    <row r="439" ht="30" customHeight="1">
      <c r="A439" s="29" t="n">
        <v>435</v>
      </c>
      <c r="B439" s="42" t="inlineStr"/>
      <c r="C439" s="49" t="inlineStr"/>
      <c r="D439" s="32" t="inlineStr">
        <is>
          <t>Harrier Fearless X Plus Dark Edition</t>
        </is>
      </c>
      <c r="E439" s="33" t="n">
        <v>1</v>
      </c>
      <c r="F439" s="34" t="inlineStr">
        <is>
          <t>Carbon Black</t>
        </is>
      </c>
      <c r="G439" s="17" t="n">
        <v>1</v>
      </c>
    </row>
    <row r="440" ht="30" customHeight="1">
      <c r="A440" s="43" t="n">
        <v>436</v>
      </c>
      <c r="B440" s="42" t="inlineStr"/>
      <c r="C440" s="44" t="inlineStr"/>
      <c r="D440" s="45" t="inlineStr">
        <is>
          <t>Harrier Pure X</t>
        </is>
      </c>
      <c r="E440" s="46" t="n">
        <v>4</v>
      </c>
      <c r="F440" s="47" t="inlineStr">
        <is>
          <t>Daytona Grey · Fearless Red · Pristine White · Pure Grey</t>
        </is>
      </c>
      <c r="G440" s="48" t="n">
        <v>4</v>
      </c>
    </row>
    <row r="441" ht="30" customHeight="1">
      <c r="A441" s="29" t="n">
        <v>437</v>
      </c>
      <c r="B441" s="42" t="inlineStr"/>
      <c r="C441" s="49" t="inlineStr"/>
      <c r="D441" s="32" t="inlineStr">
        <is>
          <t>Harrier Pure X Dark Edition</t>
        </is>
      </c>
      <c r="E441" s="33" t="n">
        <v>1</v>
      </c>
      <c r="F441" s="34" t="inlineStr">
        <is>
          <t>Carbon Black</t>
        </is>
      </c>
      <c r="G441" s="17" t="n">
        <v>1</v>
      </c>
    </row>
    <row r="442" ht="30" customHeight="1">
      <c r="A442" s="43" t="n">
        <v>438</v>
      </c>
      <c r="B442" s="42" t="inlineStr"/>
      <c r="C442" s="44" t="inlineStr"/>
      <c r="D442" s="45" t="inlineStr">
        <is>
          <t>Harrier Smart</t>
        </is>
      </c>
      <c r="E442" s="46" t="n">
        <v>4</v>
      </c>
      <c r="F442" s="47" t="inlineStr">
        <is>
          <t>Daytona Grey · Fearless Red · Pristine White · Pure Grey</t>
        </is>
      </c>
      <c r="G442" s="48" t="n">
        <v>4</v>
      </c>
    </row>
    <row r="443" ht="30" customHeight="1">
      <c r="A443" s="29" t="n">
        <v>439</v>
      </c>
      <c r="B443" s="42" t="inlineStr"/>
      <c r="C443" s="49" t="inlineStr"/>
      <c r="D443" s="32" t="inlineStr">
        <is>
          <t>Harrier Stealth Edition</t>
        </is>
      </c>
      <c r="E443" s="33" t="n">
        <v>1</v>
      </c>
      <c r="F443" s="34" t="inlineStr">
        <is>
          <t>Stealth Black</t>
        </is>
      </c>
      <c r="G443" s="17" t="n">
        <v>1</v>
      </c>
    </row>
    <row r="444" ht="30" customHeight="1">
      <c r="A444" s="43" t="n">
        <v>440</v>
      </c>
      <c r="B444" s="42" t="inlineStr"/>
      <c r="C444" s="50" t="inlineStr">
        <is>
          <t>Nexon</t>
        </is>
      </c>
      <c r="D444" s="45" t="inlineStr">
        <is>
          <t>Nexon Creative</t>
        </is>
      </c>
      <c r="E444" s="46" t="n">
        <v>6</v>
      </c>
      <c r="F444" s="47" t="inlineStr">
        <is>
          <t>Daytona Grey · Grassland Beige · Ocean Blue · Pristine White · Pure Grey · Royale Blue</t>
        </is>
      </c>
      <c r="G444" s="48" t="n">
        <v>6</v>
      </c>
    </row>
    <row r="445" ht="30" customHeight="1">
      <c r="A445" s="29" t="n">
        <v>441</v>
      </c>
      <c r="B445" s="42" t="inlineStr"/>
      <c r="C445" s="49" t="inlineStr"/>
      <c r="D445" s="32" t="inlineStr">
        <is>
          <t>Nexon Creative Plus (PS)</t>
        </is>
      </c>
      <c r="E445" s="33" t="n">
        <v>5</v>
      </c>
      <c r="F445" s="34" t="inlineStr">
        <is>
          <t>Daytona Grey with Black Roof · Grassland Beige with Black roof · Ocean Blue with White Roof · Pure Grey with Black roof · Royal Blue with Black roof</t>
        </is>
      </c>
      <c r="G445" s="17" t="n">
        <v>5</v>
      </c>
    </row>
    <row r="446" ht="30" customHeight="1">
      <c r="A446" s="43" t="n">
        <v>442</v>
      </c>
      <c r="B446" s="42" t="inlineStr"/>
      <c r="C446" s="44" t="inlineStr"/>
      <c r="D446" s="45" t="inlineStr">
        <is>
          <t>Nexon Creative Plus (S)</t>
        </is>
      </c>
      <c r="E446" s="46" t="n">
        <v>6</v>
      </c>
      <c r="F446" s="47" t="inlineStr">
        <is>
          <t>Daytona Grey · Grassland Beige · Ocean Blue · Pristine White · Pure Grey · Royale Blue</t>
        </is>
      </c>
      <c r="G446" s="48" t="n">
        <v>6</v>
      </c>
    </row>
    <row r="447" ht="30" customHeight="1">
      <c r="A447" s="29" t="n">
        <v>443</v>
      </c>
      <c r="B447" s="42" t="inlineStr"/>
      <c r="C447" s="49" t="inlineStr"/>
      <c r="D447" s="32" t="inlineStr">
        <is>
          <t>Nexon Fearless Plus (PS)</t>
        </is>
      </c>
      <c r="E447" s="33" t="n">
        <v>6</v>
      </c>
      <c r="F447" s="34" t="inlineStr">
        <is>
          <t>Daytona Grey · Grassland Beige · Ocean Blue · Pristine White · Pure Grey · Royale Blue</t>
        </is>
      </c>
      <c r="G447" s="17" t="n">
        <v>6</v>
      </c>
    </row>
    <row r="448" ht="30" customHeight="1">
      <c r="A448" s="43" t="n">
        <v>444</v>
      </c>
      <c r="B448" s="42" t="inlineStr"/>
      <c r="C448" s="44" t="inlineStr"/>
      <c r="D448" s="45" t="inlineStr">
        <is>
          <t>Nexon Fearless Plus A (PS)</t>
        </is>
      </c>
      <c r="E448" s="46" t="n">
        <v>5</v>
      </c>
      <c r="F448" s="47" t="inlineStr">
        <is>
          <t>Daytona Grey with Black Roof · Grassland Beige with Black roof · Ocean Blue with White Roof · Pure Grey with Black roof · Royal Blue with Black roof</t>
        </is>
      </c>
      <c r="G448" s="48" t="n">
        <v>5</v>
      </c>
    </row>
    <row r="449" ht="30" customHeight="1">
      <c r="A449" s="29" t="n">
        <v>445</v>
      </c>
      <c r="B449" s="42" t="inlineStr"/>
      <c r="C449" s="49" t="inlineStr"/>
      <c r="D449" s="32" t="inlineStr">
        <is>
          <t>Nexon Pure Plus</t>
        </is>
      </c>
      <c r="E449" s="33" t="n">
        <v>5</v>
      </c>
      <c r="F449" s="34" t="inlineStr">
        <is>
          <t>Daytona Grey · Grassland Beige · Pristine White · Pure Grey · Royale Blue</t>
        </is>
      </c>
      <c r="G449" s="17" t="n">
        <v>5</v>
      </c>
    </row>
    <row r="450" ht="30" customHeight="1">
      <c r="A450" s="43" t="n">
        <v>446</v>
      </c>
      <c r="B450" s="42" t="inlineStr"/>
      <c r="C450" s="44" t="inlineStr"/>
      <c r="D450" s="45" t="inlineStr">
        <is>
          <t>Nexon Pure Plus (S)</t>
        </is>
      </c>
      <c r="E450" s="46" t="n">
        <v>5</v>
      </c>
      <c r="F450" s="47" t="inlineStr">
        <is>
          <t>Daytona Grey · Grassland Beige · Pristine White · Pure Grey · Royale Blue</t>
        </is>
      </c>
      <c r="G450" s="48" t="n">
        <v>5</v>
      </c>
    </row>
    <row r="451" ht="30" customHeight="1">
      <c r="A451" s="29" t="n">
        <v>447</v>
      </c>
      <c r="B451" s="42" t="inlineStr"/>
      <c r="C451" s="49" t="inlineStr"/>
      <c r="D451" s="32" t="inlineStr">
        <is>
          <t>Nexon Smart</t>
        </is>
      </c>
      <c r="E451" s="33" t="n">
        <v>4</v>
      </c>
      <c r="F451" s="34" t="inlineStr">
        <is>
          <t>Daytona Grey · Grassland Beige · Pristine White · Royale Blue</t>
        </is>
      </c>
      <c r="G451" s="17" t="n">
        <v>4</v>
      </c>
    </row>
    <row r="452" ht="30" customHeight="1">
      <c r="A452" s="43" t="n">
        <v>448</v>
      </c>
      <c r="B452" s="42" t="inlineStr"/>
      <c r="C452" s="44" t="inlineStr"/>
      <c r="D452" s="45" t="inlineStr">
        <is>
          <t>Nexon Smart Plus</t>
        </is>
      </c>
      <c r="E452" s="46" t="n">
        <v>4</v>
      </c>
      <c r="F452" s="47" t="inlineStr">
        <is>
          <t>Daytona Grey · Grassland Beige · Pristine White · Royale Blue</t>
        </is>
      </c>
      <c r="G452" s="48" t="n">
        <v>4</v>
      </c>
    </row>
    <row r="453" ht="30" customHeight="1">
      <c r="A453" s="29" t="n">
        <v>449</v>
      </c>
      <c r="B453" s="42" t="inlineStr"/>
      <c r="C453" s="49" t="inlineStr"/>
      <c r="D453" s="32" t="inlineStr">
        <is>
          <t>Nexon Smart Plus (S)</t>
        </is>
      </c>
      <c r="E453" s="33" t="n">
        <v>4</v>
      </c>
      <c r="F453" s="34" t="inlineStr">
        <is>
          <t>Daytona Grey · Grassland Beige · Pristine White · Royale Blue</t>
        </is>
      </c>
      <c r="G453" s="17" t="n">
        <v>4</v>
      </c>
    </row>
    <row r="454" ht="30" customHeight="1">
      <c r="A454" s="43" t="n">
        <v>450</v>
      </c>
      <c r="B454" s="42" t="inlineStr"/>
      <c r="C454" s="50" t="inlineStr">
        <is>
          <t>Punch</t>
        </is>
      </c>
      <c r="D454" s="45" t="inlineStr">
        <is>
          <t>Punch Accomplished</t>
        </is>
      </c>
      <c r="E454" s="46" t="n">
        <v>6</v>
      </c>
      <c r="F454" s="47" t="inlineStr">
        <is>
          <t>Bengal Rouge With White roof · Caramel With Black roof · Coorg Clouds With Black roof · Cyantafic Blue With White roof · Daytona Grey With Black roof · Pristine White With Black roof</t>
        </is>
      </c>
      <c r="G454" s="48" t="n">
        <v>6</v>
      </c>
    </row>
    <row r="455" ht="30" customHeight="1">
      <c r="A455" s="29" t="n">
        <v>451</v>
      </c>
      <c r="B455" s="42" t="inlineStr"/>
      <c r="C455" s="49" t="inlineStr"/>
      <c r="D455" s="32" t="inlineStr">
        <is>
          <t>Punch Accomplished Plus</t>
        </is>
      </c>
      <c r="E455" s="33" t="n">
        <v>6</v>
      </c>
      <c r="F455" s="34" t="inlineStr">
        <is>
          <t>Bengal Rouge With White roof · Caramel With Black roof · Coorg Clouds With Black roof · Cyantafic Blue With White roof · Daytona Grey With Black roof · Pristine White With Black roof</t>
        </is>
      </c>
      <c r="G455" s="17" t="n">
        <v>6</v>
      </c>
    </row>
    <row r="456" ht="30" customHeight="1">
      <c r="A456" s="43" t="n">
        <v>452</v>
      </c>
      <c r="B456" s="42" t="inlineStr"/>
      <c r="C456" s="44" t="inlineStr"/>
      <c r="D456" s="45" t="inlineStr">
        <is>
          <t>Punch Accomplished Plus (S)</t>
        </is>
      </c>
      <c r="E456" s="46" t="n">
        <v>6</v>
      </c>
      <c r="F456" s="47" t="inlineStr">
        <is>
          <t>Bengal Rouge With White roof · Caramel With Black roof · Coorg Clouds With Black roof · Cyantafic Blue With White roof · Daytona Grey With Black roof · Pristine White With Black roof</t>
        </is>
      </c>
      <c r="G456" s="48" t="n">
        <v>6</v>
      </c>
    </row>
    <row r="457" ht="30" customHeight="1">
      <c r="A457" s="29" t="n">
        <v>453</v>
      </c>
      <c r="B457" s="42" t="inlineStr"/>
      <c r="C457" s="49" t="inlineStr"/>
      <c r="D457" s="32" t="inlineStr">
        <is>
          <t>Punch Adventure</t>
        </is>
      </c>
      <c r="E457" s="33" t="n">
        <v>6</v>
      </c>
      <c r="F457" s="34" t="inlineStr">
        <is>
          <t>Bengal Rouge · Caramel · Coorg Clouds · Cyantafic Blue · Daytona Grey · Pristine White</t>
        </is>
      </c>
      <c r="G457" s="17" t="n">
        <v>6</v>
      </c>
    </row>
    <row r="458" ht="30" customHeight="1">
      <c r="A458" s="43" t="n">
        <v>454</v>
      </c>
      <c r="B458" s="42" t="inlineStr"/>
      <c r="C458" s="44" t="inlineStr"/>
      <c r="D458" s="45" t="inlineStr">
        <is>
          <t>Punch Adventure (S)</t>
        </is>
      </c>
      <c r="E458" s="46" t="n">
        <v>6</v>
      </c>
      <c r="F458" s="47" t="inlineStr">
        <is>
          <t>Bengal Rouge · Caramel · Coorg Clouds · Cyantafic Blue · Daytona Grey · Pristine White</t>
        </is>
      </c>
      <c r="G458" s="48" t="n">
        <v>6</v>
      </c>
    </row>
    <row r="459" ht="30" customHeight="1">
      <c r="A459" s="29" t="n">
        <v>455</v>
      </c>
      <c r="B459" s="42" t="inlineStr"/>
      <c r="C459" s="49" t="inlineStr"/>
      <c r="D459" s="32" t="inlineStr">
        <is>
          <t>Punch Pure</t>
        </is>
      </c>
      <c r="E459" s="33" t="n">
        <v>6</v>
      </c>
      <c r="F459" s="34" t="inlineStr">
        <is>
          <t>Bengal Rouge · Caramel · Coorg Clouds · Cyantafic Blue · Daytona Grey · Pristine White</t>
        </is>
      </c>
      <c r="G459" s="17" t="n">
        <v>6</v>
      </c>
    </row>
    <row r="460" ht="30" customHeight="1">
      <c r="A460" s="43" t="n">
        <v>456</v>
      </c>
      <c r="B460" s="42" t="inlineStr"/>
      <c r="C460" s="44" t="inlineStr"/>
      <c r="D460" s="45" t="inlineStr">
        <is>
          <t>Punch Pure Plus</t>
        </is>
      </c>
      <c r="E460" s="46" t="n">
        <v>6</v>
      </c>
      <c r="F460" s="47" t="inlineStr">
        <is>
          <t>Bengal Rouge · Caramel · Coorg Clouds · Cyantafic Blue · Daytona Grey · Pristine White</t>
        </is>
      </c>
      <c r="G460" s="48" t="n">
        <v>6</v>
      </c>
    </row>
    <row r="461" ht="30" customHeight="1">
      <c r="A461" s="29" t="n">
        <v>457</v>
      </c>
      <c r="B461" s="42" t="inlineStr"/>
      <c r="C461" s="49" t="inlineStr"/>
      <c r="D461" s="32" t="inlineStr">
        <is>
          <t>Punch Pure Plus (S)</t>
        </is>
      </c>
      <c r="E461" s="33" t="n">
        <v>6</v>
      </c>
      <c r="F461" s="34" t="inlineStr">
        <is>
          <t>Bengal Rouge · Caramel · Coorg Clouds · Cyantafic Blue · Daytona Grey · Pristine White</t>
        </is>
      </c>
      <c r="G461" s="17" t="n">
        <v>6</v>
      </c>
    </row>
    <row r="462" ht="30" customHeight="1">
      <c r="A462" s="43" t="n">
        <v>458</v>
      </c>
      <c r="B462" s="42" t="inlineStr"/>
      <c r="C462" s="44" t="inlineStr"/>
      <c r="D462" s="45" t="inlineStr">
        <is>
          <t>Punch Smart</t>
        </is>
      </c>
      <c r="E462" s="46" t="n">
        <v>4</v>
      </c>
      <c r="F462" s="47" t="inlineStr">
        <is>
          <t>Bengal Rouge · Coorg Clouds · Daytona Grey · Pristine White</t>
        </is>
      </c>
      <c r="G462" s="48" t="n">
        <v>4</v>
      </c>
    </row>
    <row r="463" ht="30" customHeight="1">
      <c r="A463" s="29" t="n">
        <v>459</v>
      </c>
      <c r="B463" s="42" t="inlineStr"/>
      <c r="C463" s="31" t="inlineStr">
        <is>
          <t>Safari</t>
        </is>
      </c>
      <c r="D463" s="32" t="inlineStr">
        <is>
          <t>Safari Accomplished Ultra</t>
        </is>
      </c>
      <c r="E463" s="33" t="n">
        <v>1</v>
      </c>
      <c r="F463" s="34" t="inlineStr">
        <is>
          <t>Frost White With Dual Tone</t>
        </is>
      </c>
      <c r="G463" s="17" t="n">
        <v>1</v>
      </c>
    </row>
    <row r="464" ht="30" customHeight="1">
      <c r="A464" s="43" t="n">
        <v>460</v>
      </c>
      <c r="B464" s="42" t="inlineStr"/>
      <c r="C464" s="44" t="inlineStr"/>
      <c r="D464" s="45" t="inlineStr">
        <is>
          <t>Safari Accomplished Ultra Red Dark</t>
        </is>
      </c>
      <c r="E464" s="46" t="n">
        <v>1</v>
      </c>
      <c r="F464" s="47" t="inlineStr">
        <is>
          <t>Ulta_red_dark</t>
        </is>
      </c>
      <c r="G464" s="48" t="n">
        <v>1</v>
      </c>
    </row>
    <row r="465" ht="30" customHeight="1">
      <c r="A465" s="29" t="n">
        <v>461</v>
      </c>
      <c r="B465" s="42" t="inlineStr"/>
      <c r="C465" s="49" t="inlineStr"/>
      <c r="D465" s="32" t="inlineStr">
        <is>
          <t>Safari Accomplished X</t>
        </is>
      </c>
      <c r="E465" s="33" t="n">
        <v>6</v>
      </c>
      <c r="F465" s="34" t="inlineStr">
        <is>
          <t>Cosmic Gold With Dual Ton · Daytona Grey With Dual Tone · Frost White With Dual Tone · Pure Grey With Dual Tone · Royal Blue With Dual Tone · Supernova Copper With Dual Tone</t>
        </is>
      </c>
      <c r="G465" s="17" t="n">
        <v>6</v>
      </c>
    </row>
    <row r="466" ht="30" customHeight="1">
      <c r="A466" s="43" t="n">
        <v>462</v>
      </c>
      <c r="B466" s="42" t="inlineStr"/>
      <c r="C466" s="44" t="inlineStr"/>
      <c r="D466" s="45" t="inlineStr">
        <is>
          <t>Safari Accomplished X Dark</t>
        </is>
      </c>
      <c r="E466" s="46" t="n">
        <v>1</v>
      </c>
      <c r="F466" s="47" t="inlineStr">
        <is>
          <t>Carbon Black</t>
        </is>
      </c>
      <c r="G466" s="48" t="n">
        <v>1</v>
      </c>
    </row>
    <row r="467" ht="30" customHeight="1">
      <c r="A467" s="29" t="n">
        <v>463</v>
      </c>
      <c r="B467" s="42" t="inlineStr"/>
      <c r="C467" s="49" t="inlineStr"/>
      <c r="D467" s="32" t="inlineStr">
        <is>
          <t>Safari Accomplished X Plus</t>
        </is>
      </c>
      <c r="E467" s="33" t="n">
        <v>7</v>
      </c>
      <c r="F467" s="34" t="inlineStr">
        <is>
          <t>Carbon Black · Cosmic Gold With Dual Tone · Daytona Grey With Dual Tone · Frost White With Dual Tone · Pure Grey With Dual Tone · Royal Blue With Dual Tone · Supernova Copper With Dual Tone</t>
        </is>
      </c>
      <c r="G467" s="17" t="n">
        <v>7</v>
      </c>
    </row>
    <row r="468" ht="30" customHeight="1">
      <c r="A468" s="43" t="n">
        <v>464</v>
      </c>
      <c r="B468" s="42" t="inlineStr"/>
      <c r="C468" s="44" t="inlineStr"/>
      <c r="D468" s="45" t="inlineStr">
        <is>
          <t>Safari Accomplished X Plus Dark</t>
        </is>
      </c>
      <c r="E468" s="46" t="n">
        <v>1</v>
      </c>
      <c r="F468" s="47" t="inlineStr">
        <is>
          <t>Carbon Black</t>
        </is>
      </c>
      <c r="G468" s="48" t="n">
        <v>1</v>
      </c>
    </row>
    <row r="469" ht="30" customHeight="1">
      <c r="A469" s="29" t="n">
        <v>465</v>
      </c>
      <c r="B469" s="42" t="inlineStr"/>
      <c r="C469" s="49" t="inlineStr"/>
      <c r="D469" s="32" t="inlineStr">
        <is>
          <t>Safari Accomplished X Plus Stealth Edition</t>
        </is>
      </c>
      <c r="E469" s="33" t="n">
        <v>1</v>
      </c>
      <c r="F469" s="34" t="inlineStr">
        <is>
          <t>Stealth Black</t>
        </is>
      </c>
      <c r="G469" s="17" t="n">
        <v>1</v>
      </c>
    </row>
    <row r="470" ht="30" customHeight="1">
      <c r="A470" s="43" t="n">
        <v>466</v>
      </c>
      <c r="B470" s="42" t="inlineStr"/>
      <c r="C470" s="44" t="inlineStr"/>
      <c r="D470" s="45" t="inlineStr">
        <is>
          <t>Safari Adventure X Plus</t>
        </is>
      </c>
      <c r="E470" s="46" t="n">
        <v>5</v>
      </c>
      <c r="F470" s="47" t="inlineStr">
        <is>
          <t>Daytona Grey · Frost White · Pure Grey · Royal Blue · Supernova Copper</t>
        </is>
      </c>
      <c r="G470" s="48" t="n">
        <v>5</v>
      </c>
    </row>
    <row r="471" ht="30" customHeight="1">
      <c r="A471" s="29" t="n">
        <v>467</v>
      </c>
      <c r="B471" s="42" t="inlineStr"/>
      <c r="C471" s="49" t="inlineStr"/>
      <c r="D471" s="32" t="inlineStr">
        <is>
          <t>Safari Adventure X Plus Dark</t>
        </is>
      </c>
      <c r="E471" s="33" t="n">
        <v>1</v>
      </c>
      <c r="F471" s="34" t="inlineStr">
        <is>
          <t>Carbon Black</t>
        </is>
      </c>
      <c r="G471" s="17" t="n">
        <v>1</v>
      </c>
    </row>
    <row r="472" ht="30" customHeight="1">
      <c r="A472" s="43" t="n">
        <v>468</v>
      </c>
      <c r="B472" s="42" t="inlineStr"/>
      <c r="C472" s="44" t="inlineStr"/>
      <c r="D472" s="45" t="inlineStr">
        <is>
          <t>Safari Pure X</t>
        </is>
      </c>
      <c r="E472" s="46" t="n">
        <v>4</v>
      </c>
      <c r="F472" s="47" t="inlineStr">
        <is>
          <t>Daytona Grey · Frost White · Pure Grey · Royal Blue</t>
        </is>
      </c>
      <c r="G472" s="48" t="n">
        <v>4</v>
      </c>
    </row>
    <row r="473" ht="30" customHeight="1">
      <c r="A473" s="29" t="n">
        <v>469</v>
      </c>
      <c r="B473" s="42" t="inlineStr"/>
      <c r="C473" s="49" t="inlineStr"/>
      <c r="D473" s="32" t="inlineStr">
        <is>
          <t>Safari Pure X Dark</t>
        </is>
      </c>
      <c r="E473" s="33" t="n">
        <v>1</v>
      </c>
      <c r="F473" s="34" t="inlineStr">
        <is>
          <t>Carbon Black</t>
        </is>
      </c>
      <c r="G473" s="17" t="n">
        <v>1</v>
      </c>
    </row>
    <row r="474" ht="30" customHeight="1">
      <c r="A474" s="43" t="n">
        <v>470</v>
      </c>
      <c r="B474" s="42" t="inlineStr"/>
      <c r="C474" s="44" t="inlineStr"/>
      <c r="D474" s="45" t="inlineStr">
        <is>
          <t>Safari Pure X Dark Edition</t>
        </is>
      </c>
      <c r="E474" s="46" t="n">
        <v>1</v>
      </c>
      <c r="F474" s="47" t="inlineStr">
        <is>
          <t>Carbon Black</t>
        </is>
      </c>
      <c r="G474" s="48" t="n">
        <v>1</v>
      </c>
    </row>
    <row r="475" ht="30" customHeight="1">
      <c r="A475" s="29" t="n">
        <v>471</v>
      </c>
      <c r="B475" s="42" t="inlineStr"/>
      <c r="C475" s="49" t="inlineStr"/>
      <c r="D475" s="32" t="inlineStr">
        <is>
          <t>Safari Smart</t>
        </is>
      </c>
      <c r="E475" s="33" t="n">
        <v>4</v>
      </c>
      <c r="F475" s="34" t="inlineStr">
        <is>
          <t>Daytona Grey · Frost White · Pure Grey · Royal Blue</t>
        </is>
      </c>
      <c r="G475" s="17" t="n">
        <v>4</v>
      </c>
    </row>
    <row r="476" ht="30" customHeight="1">
      <c r="A476" s="43" t="n">
        <v>472</v>
      </c>
      <c r="B476" s="42" t="inlineStr"/>
      <c r="C476" s="50" t="inlineStr">
        <is>
          <t>Tiago</t>
        </is>
      </c>
      <c r="D476" s="45" t="inlineStr">
        <is>
          <t>Tiago XE</t>
        </is>
      </c>
      <c r="E476" s="46" t="n">
        <v>3</v>
      </c>
      <c r="F476" s="47" t="inlineStr">
        <is>
          <t>Arizona Blue · Daytona Grey · Ocena Blue</t>
        </is>
      </c>
      <c r="G476" s="48" t="n">
        <v>3</v>
      </c>
    </row>
    <row r="477" ht="30" customHeight="1">
      <c r="A477" s="29" t="n">
        <v>473</v>
      </c>
      <c r="B477" s="42" t="inlineStr"/>
      <c r="C477" s="49" t="inlineStr"/>
      <c r="D477" s="32" t="inlineStr">
        <is>
          <t>Tiago XM</t>
        </is>
      </c>
      <c r="E477" s="33" t="n">
        <v>3</v>
      </c>
      <c r="F477" s="34" t="inlineStr">
        <is>
          <t>Arizona Blue · Daytona Grey · Ocena Blue</t>
        </is>
      </c>
      <c r="G477" s="17" t="n">
        <v>3</v>
      </c>
    </row>
    <row r="478" ht="30" customHeight="1">
      <c r="A478" s="43" t="n">
        <v>474</v>
      </c>
      <c r="B478" s="42" t="inlineStr"/>
      <c r="C478" s="44" t="inlineStr"/>
      <c r="D478" s="45" t="inlineStr">
        <is>
          <t>Tiago XT</t>
        </is>
      </c>
      <c r="E478" s="46" t="n">
        <v>3</v>
      </c>
      <c r="F478" s="47" t="inlineStr">
        <is>
          <t>Arizona Blue · Daytona Grey · Ocena Blue</t>
        </is>
      </c>
      <c r="G478" s="48" t="n">
        <v>3</v>
      </c>
    </row>
    <row r="479" ht="30" customHeight="1">
      <c r="A479" s="29" t="n">
        <v>475</v>
      </c>
      <c r="B479" s="42" t="inlineStr"/>
      <c r="C479" s="49" t="inlineStr"/>
      <c r="D479" s="32" t="inlineStr">
        <is>
          <t>Tiago XZ</t>
        </is>
      </c>
      <c r="E479" s="33" t="n">
        <v>3</v>
      </c>
      <c r="F479" s="34" t="inlineStr">
        <is>
          <t>Arizona Blue · Daytona Grey · Ocena Blue</t>
        </is>
      </c>
      <c r="G479" s="17" t="n">
        <v>3</v>
      </c>
    </row>
    <row r="480" ht="30" customHeight="1">
      <c r="A480" s="43" t="n">
        <v>476</v>
      </c>
      <c r="B480" s="42" t="inlineStr"/>
      <c r="C480" s="44" t="inlineStr"/>
      <c r="D480" s="45" t="inlineStr">
        <is>
          <t>Tiago XZ Plus</t>
        </is>
      </c>
      <c r="E480" s="46" t="n">
        <v>3</v>
      </c>
      <c r="F480" s="47" t="inlineStr">
        <is>
          <t>Arizona Blue · Daytona Grey · Ocena Blue</t>
        </is>
      </c>
      <c r="G480" s="48" t="n">
        <v>3</v>
      </c>
    </row>
    <row r="481" ht="30" customHeight="1">
      <c r="A481" s="29" t="n">
        <v>477</v>
      </c>
      <c r="B481" s="42" t="inlineStr"/>
      <c r="C481" s="31" t="inlineStr">
        <is>
          <t>Tigor</t>
        </is>
      </c>
      <c r="D481" s="32" t="inlineStr">
        <is>
          <t>Tigor XM</t>
        </is>
      </c>
      <c r="E481" s="33" t="n">
        <v>4</v>
      </c>
      <c r="F481" s="34" t="inlineStr">
        <is>
          <t>Arizona Blue · Daytona Grey · Meteor Bronze · Supernova Copper</t>
        </is>
      </c>
      <c r="G481" s="17" t="n">
        <v>4</v>
      </c>
    </row>
    <row r="482" ht="30" customHeight="1">
      <c r="A482" s="43" t="n">
        <v>478</v>
      </c>
      <c r="B482" s="42" t="inlineStr"/>
      <c r="C482" s="44" t="inlineStr"/>
      <c r="D482" s="45" t="inlineStr">
        <is>
          <t>Tigor XT</t>
        </is>
      </c>
      <c r="E482" s="46" t="n">
        <v>4</v>
      </c>
      <c r="F482" s="47" t="inlineStr">
        <is>
          <t>Arizona Blue · Daytona Grey · Meteor Bronze · Supernova Copper</t>
        </is>
      </c>
      <c r="G482" s="48" t="n">
        <v>4</v>
      </c>
    </row>
    <row r="483" ht="30" customHeight="1">
      <c r="A483" s="29" t="n">
        <v>479</v>
      </c>
      <c r="B483" s="42" t="inlineStr"/>
      <c r="C483" s="49" t="inlineStr"/>
      <c r="D483" s="32" t="inlineStr">
        <is>
          <t>Tigor XZ</t>
        </is>
      </c>
      <c r="E483" s="33" t="n">
        <v>4</v>
      </c>
      <c r="F483" s="34" t="inlineStr">
        <is>
          <t>Arizona Blue · Daytona Grey · Meteor Bronze · Supernova Copper</t>
        </is>
      </c>
      <c r="G483" s="17" t="n">
        <v>4</v>
      </c>
    </row>
    <row r="484" ht="30" customHeight="1">
      <c r="A484" s="43" t="n">
        <v>480</v>
      </c>
      <c r="B484" s="42" t="inlineStr"/>
      <c r="C484" s="44" t="inlineStr"/>
      <c r="D484" s="45" t="inlineStr">
        <is>
          <t>Tigor XZ Plus</t>
        </is>
      </c>
      <c r="E484" s="46" t="n">
        <v>4</v>
      </c>
      <c r="F484" s="47" t="inlineStr">
        <is>
          <t>Arizona Blue · Daytona Grey · Meteor Bronze · Supernova Copper</t>
        </is>
      </c>
      <c r="G484" s="48" t="n">
        <v>4</v>
      </c>
    </row>
    <row r="485" ht="30" customHeight="1">
      <c r="A485" s="29" t="n">
        <v>481</v>
      </c>
      <c r="B485" s="146" t="inlineStr">
        <is>
          <t>Toyota</t>
        </is>
      </c>
      <c r="C485" s="31" t="inlineStr">
        <is>
          <t>Camry</t>
        </is>
      </c>
      <c r="D485" s="32" t="inlineStr">
        <is>
          <t>Standard</t>
        </is>
      </c>
      <c r="E485" s="33" t="n">
        <v>11</v>
      </c>
      <c r="F485" s="34" t="inlineStr">
        <is>
          <t>Attitude Black · Cement Grey · Cement Grey With Matte Black · Dark Blue · Dark Blue With Matte Black · Emotional Red · Emotional Red With Matte Black · Platinum White Pearl · Platinum White Pearl With Matte Black · Precious Metal · Precious Metal With Matte Black</t>
        </is>
      </c>
      <c r="G485" s="17" t="n">
        <v>11</v>
      </c>
    </row>
    <row r="486" ht="30" customHeight="1">
      <c r="A486" s="147" t="n">
        <v>482</v>
      </c>
      <c r="B486" s="146" t="inlineStr"/>
      <c r="C486" s="148" t="inlineStr">
        <is>
          <t>Fortuner</t>
        </is>
      </c>
      <c r="D486" s="149" t="inlineStr">
        <is>
          <t>Standard</t>
        </is>
      </c>
      <c r="E486" s="150" t="n">
        <v>6</v>
      </c>
      <c r="F486" s="151" t="inlineStr">
        <is>
          <t>Attitude Black · Avant-Garde Bronze · Platinum White Pearl · Silver Metallic · Sparkling Black Cystal Shine · Super White</t>
        </is>
      </c>
      <c r="G486" s="152" t="n">
        <v>6</v>
      </c>
    </row>
    <row r="487" ht="30" customHeight="1">
      <c r="A487" s="29" t="n">
        <v>483</v>
      </c>
      <c r="B487" s="146" t="inlineStr"/>
      <c r="C487" s="31" t="inlineStr">
        <is>
          <t>Glanza</t>
        </is>
      </c>
      <c r="D487" s="32" t="inlineStr">
        <is>
          <t>Standard</t>
        </is>
      </c>
      <c r="E487" s="33" t="n">
        <v>5</v>
      </c>
      <c r="F487" s="34" t="inlineStr">
        <is>
          <t>Cafe White · Enticing Silver · Gaming Grey · Insta Blue · Sportin Red</t>
        </is>
      </c>
      <c r="G487" s="17" t="n">
        <v>5</v>
      </c>
    </row>
    <row r="488" ht="30" customHeight="1">
      <c r="A488" s="147" t="n">
        <v>484</v>
      </c>
      <c r="B488" s="146" t="inlineStr"/>
      <c r="C488" s="148" t="inlineStr">
        <is>
          <t>Hilux</t>
        </is>
      </c>
      <c r="D488" s="149" t="inlineStr">
        <is>
          <t>Standard</t>
        </is>
      </c>
      <c r="E488" s="150" t="n">
        <v>5</v>
      </c>
      <c r="F488" s="151" t="inlineStr">
        <is>
          <t>Attitude Black · Emotional Red · Grey Metallic · Super White · White Pearl Crystal Shine</t>
        </is>
      </c>
      <c r="G488" s="152" t="n">
        <v>5</v>
      </c>
    </row>
    <row r="489" ht="30" customHeight="1">
      <c r="A489" s="29" t="n">
        <v>485</v>
      </c>
      <c r="B489" s="146" t="inlineStr"/>
      <c r="C489" s="31" t="inlineStr">
        <is>
          <t>Innova Crysta</t>
        </is>
      </c>
      <c r="D489" s="32" t="inlineStr">
        <is>
          <t>Standard</t>
        </is>
      </c>
      <c r="E489" s="33" t="n">
        <v>5</v>
      </c>
      <c r="F489" s="34" t="inlineStr">
        <is>
          <t>Attitude Black Mica · Avant-Garde Bronze Metallic · Platinum White Pearl · Silver Metallic · Superwhite</t>
        </is>
      </c>
      <c r="G489" s="17" t="n">
        <v>5</v>
      </c>
    </row>
    <row r="490" ht="30" customHeight="1">
      <c r="A490" s="147" t="n">
        <v>486</v>
      </c>
      <c r="B490" s="146" t="inlineStr"/>
      <c r="C490" s="148" t="inlineStr">
        <is>
          <t>Innova Hycross</t>
        </is>
      </c>
      <c r="D490" s="149" t="inlineStr">
        <is>
          <t>Standard</t>
        </is>
      </c>
      <c r="E490" s="150" t="n">
        <v>6</v>
      </c>
      <c r="F490" s="151" t="inlineStr">
        <is>
          <t>Attitude Black Mica · Avant-garde Bronze Metallic · Blackish Ageha Glass Flake · Platinum White Pearl · Silver Metallic · Super White</t>
        </is>
      </c>
      <c r="G490" s="152" t="n">
        <v>6</v>
      </c>
    </row>
    <row r="491" ht="30" customHeight="1">
      <c r="A491" s="29" t="n">
        <v>487</v>
      </c>
      <c r="B491" s="146" t="inlineStr"/>
      <c r="C491" s="31" t="inlineStr">
        <is>
          <t>Rumion</t>
        </is>
      </c>
      <c r="D491" s="32" t="inlineStr">
        <is>
          <t>Standard</t>
        </is>
      </c>
      <c r="E491" s="33" t="n">
        <v>5</v>
      </c>
      <c r="F491" s="34" t="inlineStr">
        <is>
          <t>Cafe White · Enticing Silver · Iconic Grey · Rustic Brown · Spunky Blue</t>
        </is>
      </c>
      <c r="G491" s="17" t="n">
        <v>5</v>
      </c>
    </row>
    <row r="492" ht="30" customHeight="1">
      <c r="A492" s="147" t="n">
        <v>488</v>
      </c>
      <c r="B492" s="146" t="inlineStr"/>
      <c r="C492" s="148" t="inlineStr">
        <is>
          <t>Urban Cruiser Hyryder</t>
        </is>
      </c>
      <c r="D492" s="149" t="inlineStr">
        <is>
          <t>Standard</t>
        </is>
      </c>
      <c r="E492" s="150" t="n">
        <v>11</v>
      </c>
      <c r="F492" s="151" t="inlineStr">
        <is>
          <t>Cafe White · Cafe White with Midnight Black · Cave Black · Enticing Silver · Enticing Silver with Midnight Black · Gaming Grey · Midnight Black · Speedy Blue · Speedy Blue with Midnight Black · Sportin Red · Sportin Red with Midnight Black</t>
        </is>
      </c>
      <c r="G492" s="152" t="n">
        <v>11</v>
      </c>
    </row>
    <row r="493" ht="30" customHeight="1">
      <c r="A493" s="29" t="n">
        <v>489</v>
      </c>
      <c r="B493" s="146" t="inlineStr"/>
      <c r="C493" s="31" t="inlineStr">
        <is>
          <t>Urban Cruiser Taisor</t>
        </is>
      </c>
      <c r="D493" s="32" t="inlineStr">
        <is>
          <t>Standard</t>
        </is>
      </c>
      <c r="E493" s="33" t="n">
        <v>9</v>
      </c>
      <c r="F493" s="34" t="inlineStr">
        <is>
          <t>Bluish Black · Cafe White · Cafe White with Midnight Black · Enticing Silver · Enticing Silver with Midnight Black · Gaming Grey · Lucent Orange · Sportin Red · Sportin Red with Midnight Black</t>
        </is>
      </c>
      <c r="G493" s="17" t="n">
        <v>9</v>
      </c>
    </row>
    <row r="494" ht="30" customHeight="1">
      <c r="A494" s="147" t="n">
        <v>490</v>
      </c>
      <c r="B494" s="146" t="inlineStr"/>
      <c r="C494" s="148" t="inlineStr">
        <is>
          <t>Vellfire</t>
        </is>
      </c>
      <c r="D494" s="149" t="inlineStr">
        <is>
          <t>Standard</t>
        </is>
      </c>
      <c r="E494" s="150" t="n">
        <v>3</v>
      </c>
      <c r="F494" s="151" t="inlineStr">
        <is>
          <t>Black · Platinum White Pearl · Precious Metal</t>
        </is>
      </c>
      <c r="G494" s="152" t="n">
        <v>3</v>
      </c>
    </row>
    <row r="495" ht="30" customHeight="1">
      <c r="A495" s="29" t="n">
        <v>491</v>
      </c>
      <c r="B495" s="153" t="inlineStr">
        <is>
          <t>Volkswagen</t>
        </is>
      </c>
      <c r="C495" s="31" t="inlineStr">
        <is>
          <t>Golf GTI</t>
        </is>
      </c>
      <c r="D495" s="32" t="inlineStr">
        <is>
          <t>Golf GTI 2.0L TSI</t>
        </is>
      </c>
      <c r="E495" s="33" t="n">
        <v>4</v>
      </c>
      <c r="F495" s="34" t="inlineStr">
        <is>
          <t>Grenadilla Black Metallic · Kings Red Metallic · Moonstone Grey Black · Oryx White Mother-of-Pearl Effect</t>
        </is>
      </c>
      <c r="G495" s="17" t="n">
        <v>4</v>
      </c>
    </row>
    <row r="496" ht="30" customHeight="1">
      <c r="A496" s="154" t="n">
        <v>492</v>
      </c>
      <c r="B496" s="153" t="inlineStr"/>
      <c r="C496" s="155" t="inlineStr">
        <is>
          <t>Polo</t>
        </is>
      </c>
      <c r="D496" s="156" t="inlineStr">
        <is>
          <t>Polo Comfortline</t>
        </is>
      </c>
      <c r="E496" s="157" t="n">
        <v>4</v>
      </c>
      <c r="F496" s="158" t="inlineStr">
        <is>
          <t>Candy White · Carbon Steel · Flash Red · Sunset Red</t>
        </is>
      </c>
      <c r="G496" s="159" t="n">
        <v>4</v>
      </c>
    </row>
    <row r="497" ht="30" customHeight="1">
      <c r="A497" s="29" t="n">
        <v>493</v>
      </c>
      <c r="B497" s="153" t="inlineStr"/>
      <c r="C497" s="49" t="inlineStr"/>
      <c r="D497" s="32" t="inlineStr">
        <is>
          <t>Polo Comfortline Plus</t>
        </is>
      </c>
      <c r="E497" s="33" t="n">
        <v>5</v>
      </c>
      <c r="F497" s="34" t="inlineStr">
        <is>
          <t>Candy White · Carbon Steel · Flash Red · Reflex Silver · Sunset Red</t>
        </is>
      </c>
      <c r="G497" s="17" t="n">
        <v>5</v>
      </c>
    </row>
    <row r="498" ht="30" customHeight="1">
      <c r="A498" s="154" t="n">
        <v>494</v>
      </c>
      <c r="B498" s="153" t="inlineStr"/>
      <c r="C498" s="160" t="inlineStr"/>
      <c r="D498" s="156" t="inlineStr">
        <is>
          <t>Polo ComfortlineL</t>
        </is>
      </c>
      <c r="E498" s="157" t="n">
        <v>4</v>
      </c>
      <c r="F498" s="158" t="inlineStr">
        <is>
          <t>Candy White · Carbon Steel · Flash Red · Sunset Red</t>
        </is>
      </c>
      <c r="G498" s="159" t="n">
        <v>4</v>
      </c>
    </row>
    <row r="499" ht="30" customHeight="1">
      <c r="A499" s="29" t="n">
        <v>495</v>
      </c>
      <c r="B499" s="153" t="inlineStr"/>
      <c r="C499" s="49" t="inlineStr"/>
      <c r="D499" s="32" t="inlineStr">
        <is>
          <t>Polo GT</t>
        </is>
      </c>
      <c r="E499" s="33" t="n">
        <v>4</v>
      </c>
      <c r="F499" s="34" t="inlineStr">
        <is>
          <t>Candy White · Carbon Steel · Flash Red · Sunset Red</t>
        </is>
      </c>
      <c r="G499" s="17" t="n">
        <v>4</v>
      </c>
    </row>
    <row r="500" ht="30" customHeight="1">
      <c r="A500" s="154" t="n">
        <v>496</v>
      </c>
      <c r="B500" s="153" t="inlineStr"/>
      <c r="C500" s="160" t="inlineStr"/>
      <c r="D500" s="156" t="inlineStr">
        <is>
          <t>Polo Highline</t>
        </is>
      </c>
      <c r="E500" s="157" t="n">
        <v>4</v>
      </c>
      <c r="F500" s="158" t="inlineStr">
        <is>
          <t>Candy White · Carbon Steel · Flash Red · Sunset Red</t>
        </is>
      </c>
      <c r="G500" s="159" t="n">
        <v>4</v>
      </c>
    </row>
    <row r="501" ht="30" customHeight="1">
      <c r="A501" s="29" t="n">
        <v>497</v>
      </c>
      <c r="B501" s="153" t="inlineStr"/>
      <c r="C501" s="49" t="inlineStr"/>
      <c r="D501" s="32" t="inlineStr">
        <is>
          <t>Polo Highline Plus</t>
        </is>
      </c>
      <c r="E501" s="33" t="n">
        <v>4</v>
      </c>
      <c r="F501" s="34" t="inlineStr">
        <is>
          <t>Candy White · Carbon Steel · Flash Red · Sunset Red</t>
        </is>
      </c>
      <c r="G501" s="17" t="n">
        <v>4</v>
      </c>
    </row>
    <row r="502" ht="30" customHeight="1">
      <c r="A502" s="154" t="n">
        <v>498</v>
      </c>
      <c r="B502" s="153" t="inlineStr"/>
      <c r="C502" s="160" t="inlineStr"/>
      <c r="D502" s="156" t="inlineStr">
        <is>
          <t>Polo Legend</t>
        </is>
      </c>
      <c r="E502" s="157" t="n">
        <v>3</v>
      </c>
      <c r="F502" s="158" t="inlineStr">
        <is>
          <t>Candy White · Carbon Steel · Flash Red</t>
        </is>
      </c>
      <c r="G502" s="159" t="n">
        <v>3</v>
      </c>
    </row>
    <row r="503" ht="30" customHeight="1">
      <c r="A503" s="29" t="n">
        <v>499</v>
      </c>
      <c r="B503" s="153" t="inlineStr"/>
      <c r="C503" s="49" t="inlineStr"/>
      <c r="D503" s="32" t="inlineStr">
        <is>
          <t>Polo Limited</t>
        </is>
      </c>
      <c r="E503" s="33" t="n">
        <v>4</v>
      </c>
      <c r="F503" s="34" t="inlineStr">
        <is>
          <t>Candy White · Carbon Steel · Flash Red · Sunset Red</t>
        </is>
      </c>
      <c r="G503" s="17" t="n">
        <v>4</v>
      </c>
    </row>
    <row r="504" ht="30" customHeight="1">
      <c r="A504" s="154" t="n">
        <v>500</v>
      </c>
      <c r="B504" s="153" t="inlineStr"/>
      <c r="C504" s="160" t="inlineStr"/>
      <c r="D504" s="156" t="inlineStr">
        <is>
          <t>Polo Matt</t>
        </is>
      </c>
      <c r="E504" s="157" t="n">
        <v>1</v>
      </c>
      <c r="F504" s="158" t="inlineStr">
        <is>
          <t>Carbon Steel</t>
        </is>
      </c>
      <c r="G504" s="159" t="n">
        <v>1</v>
      </c>
    </row>
    <row r="505" ht="30" customHeight="1">
      <c r="A505" s="29" t="n">
        <v>501</v>
      </c>
      <c r="B505" s="153" t="inlineStr"/>
      <c r="C505" s="49" t="inlineStr"/>
      <c r="D505" s="32" t="inlineStr">
        <is>
          <t>Polo Red and White</t>
        </is>
      </c>
      <c r="E505" s="33" t="n">
        <v>3</v>
      </c>
      <c r="F505" s="34" t="inlineStr">
        <is>
          <t>Candy White · Flash Red · Sunset Red</t>
        </is>
      </c>
      <c r="G505" s="17" t="n">
        <v>3</v>
      </c>
    </row>
    <row r="506" ht="30" customHeight="1">
      <c r="A506" s="154" t="n">
        <v>502</v>
      </c>
      <c r="B506" s="153" t="inlineStr"/>
      <c r="C506" s="160" t="inlineStr"/>
      <c r="D506" s="156" t="inlineStr">
        <is>
          <t>Polo Trendline</t>
        </is>
      </c>
      <c r="E506" s="157" t="n">
        <v>4</v>
      </c>
      <c r="F506" s="158" t="inlineStr">
        <is>
          <t>Candy White · Carbon Steel · Flash Red · Sunset Red</t>
        </is>
      </c>
      <c r="G506" s="159" t="n">
        <v>4</v>
      </c>
    </row>
    <row r="507" ht="30" customHeight="1">
      <c r="A507" s="29" t="n">
        <v>503</v>
      </c>
      <c r="B507" s="153" t="inlineStr"/>
      <c r="C507" s="49" t="inlineStr"/>
      <c r="D507" s="32" t="inlineStr">
        <is>
          <t>Polo TrendlineL</t>
        </is>
      </c>
      <c r="E507" s="33" t="n">
        <v>4</v>
      </c>
      <c r="F507" s="34" t="inlineStr">
        <is>
          <t>Candy White · Carbon Steel · Flash Red · Sunset Red</t>
        </is>
      </c>
      <c r="G507" s="17" t="n">
        <v>4</v>
      </c>
    </row>
    <row r="508" ht="30" customHeight="1">
      <c r="A508" s="154" t="n">
        <v>504</v>
      </c>
      <c r="B508" s="153" t="inlineStr"/>
      <c r="C508" s="160" t="inlineStr"/>
      <c r="D508" s="156" t="inlineStr">
        <is>
          <t>Polo Turbo</t>
        </is>
      </c>
      <c r="E508" s="157" t="n">
        <v>5</v>
      </c>
      <c r="F508" s="158" t="inlineStr">
        <is>
          <t>Candy White · Carbon Steel · Flash Red · Reflex Silver · Sunset Red</t>
        </is>
      </c>
      <c r="G508" s="159" t="n">
        <v>5</v>
      </c>
    </row>
    <row r="509" ht="30" customHeight="1">
      <c r="A509" s="29" t="n">
        <v>505</v>
      </c>
      <c r="B509" s="153" t="inlineStr"/>
      <c r="C509" s="31" t="inlineStr">
        <is>
          <t>Taigun</t>
        </is>
      </c>
      <c r="D509" s="32" t="inlineStr">
        <is>
          <t>Taigun Comfortline</t>
        </is>
      </c>
      <c r="E509" s="33" t="n">
        <v>7</v>
      </c>
      <c r="F509" s="34" t="inlineStr">
        <is>
          <t>Avocado Pearl Effect · Candy White · Carbon Steel Grey Metallic · Lava Blue Metallic · Reflex Silver Metallic · Steel Grey · Wild Cherry Red Metallic</t>
        </is>
      </c>
      <c r="G509" s="17" t="n">
        <v>7</v>
      </c>
    </row>
    <row r="510" ht="30" customHeight="1">
      <c r="A510" s="154" t="n">
        <v>506</v>
      </c>
      <c r="B510" s="153" t="inlineStr"/>
      <c r="C510" s="160" t="inlineStr"/>
      <c r="D510" s="156" t="inlineStr">
        <is>
          <t>Taigun GT Line</t>
        </is>
      </c>
      <c r="E510" s="157" t="n">
        <v>8</v>
      </c>
      <c r="F510" s="158" t="inlineStr">
        <is>
          <t>Avocado Pearl Effect · Candy White · Carbon Steel Grey Metallic · Deep Black pearl · Lava Blue Metallic · Reflex Silver Metallic · Steel Grey · Wild Cherry Red Metallic</t>
        </is>
      </c>
      <c r="G510" s="159" t="n">
        <v>8</v>
      </c>
    </row>
    <row r="511" ht="30" customHeight="1">
      <c r="A511" s="29" t="n">
        <v>507</v>
      </c>
      <c r="B511" s="153" t="inlineStr"/>
      <c r="C511" s="49" t="inlineStr"/>
      <c r="D511" s="32" t="inlineStr">
        <is>
          <t>Taigun GT Plus Chrome</t>
        </is>
      </c>
      <c r="E511" s="33" t="n">
        <v>8</v>
      </c>
      <c r="F511" s="34" t="inlineStr">
        <is>
          <t>Avocado Pearl Effect · Candy White · Carbon Steel Matte · Deep Black pearl · Lava Blue Metallic · Reflex Silver Metallic · Steel Grey · Wild Cherry Red Metallic</t>
        </is>
      </c>
      <c r="G511" s="17" t="n">
        <v>8</v>
      </c>
    </row>
    <row r="512" ht="30" customHeight="1">
      <c r="A512" s="154" t="n">
        <v>508</v>
      </c>
      <c r="B512" s="153" t="inlineStr"/>
      <c r="C512" s="160" t="inlineStr"/>
      <c r="D512" s="156" t="inlineStr">
        <is>
          <t>Taigun GT Plus Sport</t>
        </is>
      </c>
      <c r="E512" s="157" t="n">
        <v>9</v>
      </c>
      <c r="F512" s="158" t="inlineStr">
        <is>
          <t>Avocado Pearl Effect · Candy White · Carbon Steel Grey Metallic · Carbon Steel Matte · Deep Black pearl · Lava Blue Metallic · Reflex Silver Metallic · Steel Grey · Wild Cherry Red Metallic</t>
        </is>
      </c>
      <c r="G512" s="159" t="n">
        <v>9</v>
      </c>
    </row>
    <row r="513" ht="30" customHeight="1">
      <c r="A513" s="29" t="n">
        <v>509</v>
      </c>
      <c r="B513" s="153" t="inlineStr"/>
      <c r="C513" s="49" t="inlineStr"/>
      <c r="D513" s="32" t="inlineStr">
        <is>
          <t>Taigun Highline</t>
        </is>
      </c>
      <c r="E513" s="33" t="n">
        <v>7</v>
      </c>
      <c r="F513" s="34" t="inlineStr">
        <is>
          <t>Avocado Pearl Effect · Candy White · Carbon Steel Grey Metallic · Lava Blue Metallic · Reflex Silver Metallic · Steel Grey · Wild Cherry Red Metallic</t>
        </is>
      </c>
      <c r="G513" s="17" t="n">
        <v>7</v>
      </c>
    </row>
    <row r="514" ht="30" customHeight="1">
      <c r="A514" s="154" t="n">
        <v>510</v>
      </c>
      <c r="B514" s="153" t="inlineStr"/>
      <c r="C514" s="160" t="inlineStr"/>
      <c r="D514" s="156" t="inlineStr">
        <is>
          <t>Taigun Highline Plus</t>
        </is>
      </c>
      <c r="E514" s="157" t="n">
        <v>7</v>
      </c>
      <c r="F514" s="158" t="inlineStr">
        <is>
          <t>Avocado Pearl Effect · Candy White · Carbon Steel Grey Metallic · Lava Blue Metallic · Reflex Silver Metallic · Steel Grey · Wild Cherry Red Metallic</t>
        </is>
      </c>
      <c r="G514" s="159" t="n">
        <v>7</v>
      </c>
    </row>
    <row r="515" ht="30" customHeight="1">
      <c r="A515" s="29" t="n">
        <v>511</v>
      </c>
      <c r="B515" s="153" t="inlineStr"/>
      <c r="C515" s="49" t="inlineStr"/>
      <c r="D515" s="32" t="inlineStr">
        <is>
          <t>Taigun Topline</t>
        </is>
      </c>
      <c r="E515" s="33" t="n">
        <v>8</v>
      </c>
      <c r="F515" s="34" t="inlineStr">
        <is>
          <t>Avocado Pearl Effect · Candy White · Carbon Steel Grey Metallic · Deep Black pearl · Lava Blue Metallic · Reflex Silver Metallic · Steel Grey · Wild Cherry Red Metallic</t>
        </is>
      </c>
      <c r="G515" s="17" t="n">
        <v>8</v>
      </c>
    </row>
    <row r="516" ht="30" customHeight="1">
      <c r="A516" s="154" t="n">
        <v>512</v>
      </c>
      <c r="B516" s="153" t="inlineStr"/>
      <c r="C516" s="155" t="inlineStr">
        <is>
          <t>Taigun R-Line</t>
        </is>
      </c>
      <c r="D516" s="156" t="inlineStr">
        <is>
          <t>Tiguan R-Line 2.0L TSI</t>
        </is>
      </c>
      <c r="E516" s="157" t="n">
        <v>5</v>
      </c>
      <c r="F516" s="158" t="inlineStr">
        <is>
          <t>Cipressino Green Metallic · Grenadilla Black Metallic · Nightshade Blue Metallic · Oryx White Mother of Pearl Effect · Persimmon Red Metallic</t>
        </is>
      </c>
      <c r="G516" s="159" t="n">
        <v>5</v>
      </c>
    </row>
    <row r="517" ht="30" customHeight="1">
      <c r="A517" s="29" t="n">
        <v>513</v>
      </c>
      <c r="B517" s="153" t="inlineStr"/>
      <c r="C517" s="31" t="inlineStr">
        <is>
          <t>Vento</t>
        </is>
      </c>
      <c r="D517" s="32" t="inlineStr">
        <is>
          <t>Vento Comfortline</t>
        </is>
      </c>
      <c r="E517" s="33" t="n">
        <v>5</v>
      </c>
      <c r="F517" s="34" t="inlineStr">
        <is>
          <t>Candy White · Carbon Steel · Lapiz Blue · Sunset Red · Toffee Brown</t>
        </is>
      </c>
      <c r="G517" s="17" t="n">
        <v>5</v>
      </c>
    </row>
    <row r="518" ht="30" customHeight="1">
      <c r="A518" s="154" t="n">
        <v>514</v>
      </c>
      <c r="B518" s="153" t="inlineStr"/>
      <c r="C518" s="160" t="inlineStr"/>
      <c r="D518" s="156" t="inlineStr">
        <is>
          <t>Vento Comfortline Plus</t>
        </is>
      </c>
      <c r="E518" s="157" t="n">
        <v>5</v>
      </c>
      <c r="F518" s="158" t="inlineStr">
        <is>
          <t>Candy White · Carbon Steel · Lapiz Blue · Sunset Red · Toffee Brown</t>
        </is>
      </c>
      <c r="G518" s="159" t="n">
        <v>5</v>
      </c>
    </row>
    <row r="519" ht="30" customHeight="1">
      <c r="A519" s="29" t="n">
        <v>515</v>
      </c>
      <c r="B519" s="153" t="inlineStr"/>
      <c r="C519" s="49" t="inlineStr"/>
      <c r="D519" s="32" t="inlineStr">
        <is>
          <t>Vento GT Line</t>
        </is>
      </c>
      <c r="E519" s="33" t="n">
        <v>5</v>
      </c>
      <c r="F519" s="34" t="inlineStr">
        <is>
          <t>Candy White · Carbon Steel · Lapiz Blue · Sunset Red · Toffee Brown</t>
        </is>
      </c>
      <c r="G519" s="17" t="n">
        <v>5</v>
      </c>
    </row>
    <row r="520" ht="30" customHeight="1">
      <c r="A520" s="154" t="n">
        <v>516</v>
      </c>
      <c r="B520" s="153" t="inlineStr"/>
      <c r="C520" s="160" t="inlineStr"/>
      <c r="D520" s="156" t="inlineStr">
        <is>
          <t>Vento Highline</t>
        </is>
      </c>
      <c r="E520" s="157" t="n">
        <v>5</v>
      </c>
      <c r="F520" s="158" t="inlineStr">
        <is>
          <t>Candy White · Carbon Steel · Lapiz Blue · Sunset Red · Toffee Brown</t>
        </is>
      </c>
      <c r="G520" s="159" t="n">
        <v>5</v>
      </c>
    </row>
    <row r="521" ht="30" customHeight="1">
      <c r="A521" s="29" t="n">
        <v>517</v>
      </c>
      <c r="B521" s="153" t="inlineStr"/>
      <c r="C521" s="49" t="inlineStr"/>
      <c r="D521" s="32" t="inlineStr">
        <is>
          <t>Vento Highline Plus</t>
        </is>
      </c>
      <c r="E521" s="33" t="n">
        <v>5</v>
      </c>
      <c r="F521" s="34" t="inlineStr">
        <is>
          <t>Candy White · Carbon Steel · Lapiz Blue · Sunset Red · Toffee Brown</t>
        </is>
      </c>
      <c r="G521" s="17" t="n">
        <v>5</v>
      </c>
    </row>
    <row r="522" ht="30" customHeight="1">
      <c r="A522" s="154" t="n">
        <v>518</v>
      </c>
      <c r="B522" s="153" t="inlineStr"/>
      <c r="C522" s="160" t="inlineStr"/>
      <c r="D522" s="156" t="inlineStr">
        <is>
          <t>Vento Limited</t>
        </is>
      </c>
      <c r="E522" s="157" t="n">
        <v>5</v>
      </c>
      <c r="F522" s="158" t="inlineStr">
        <is>
          <t>Candy White · Carbon Steel · Lapiz Blue · Sunset Red · Toffee Brown</t>
        </is>
      </c>
      <c r="G522" s="159" t="n">
        <v>5</v>
      </c>
    </row>
    <row r="523" ht="30" customHeight="1">
      <c r="A523" s="29" t="n">
        <v>519</v>
      </c>
      <c r="B523" s="153" t="inlineStr"/>
      <c r="C523" s="49" t="inlineStr"/>
      <c r="D523" s="32" t="inlineStr">
        <is>
          <t>Vento Red and White</t>
        </is>
      </c>
      <c r="E523" s="33" t="n">
        <v>2</v>
      </c>
      <c r="F523" s="34" t="inlineStr">
        <is>
          <t>Candy White · Sunset Red</t>
        </is>
      </c>
      <c r="G523" s="17" t="n">
        <v>2</v>
      </c>
    </row>
    <row r="524" ht="30" customHeight="1">
      <c r="A524" s="154" t="n">
        <v>520</v>
      </c>
      <c r="B524" s="153" t="inlineStr"/>
      <c r="C524" s="160" t="inlineStr"/>
      <c r="D524" s="156" t="inlineStr">
        <is>
          <t>Vento Trendline</t>
        </is>
      </c>
      <c r="E524" s="157" t="n">
        <v>5</v>
      </c>
      <c r="F524" s="158" t="inlineStr">
        <is>
          <t>Candy White · Carbon Steel · Lapiz Blue · Sunset Red · Toffee Brown</t>
        </is>
      </c>
      <c r="G524" s="159" t="n">
        <v>5</v>
      </c>
    </row>
    <row r="525" ht="30" customHeight="1">
      <c r="A525" s="29" t="n">
        <v>521</v>
      </c>
      <c r="B525" s="153" t="inlineStr"/>
      <c r="C525" s="49" t="inlineStr"/>
      <c r="D525" s="32" t="inlineStr">
        <is>
          <t>Vento Turbo</t>
        </is>
      </c>
      <c r="E525" s="33" t="n">
        <v>5</v>
      </c>
      <c r="F525" s="34" t="inlineStr">
        <is>
          <t>Candy White · Carbon Steel · Lapiz Blue · Sunset Red · Toffee Brown</t>
        </is>
      </c>
      <c r="G525" s="17" t="n">
        <v>5</v>
      </c>
    </row>
    <row r="526" ht="30" customHeight="1">
      <c r="A526" s="154" t="n">
        <v>522</v>
      </c>
      <c r="B526" s="153" t="inlineStr"/>
      <c r="C526" s="155" t="inlineStr">
        <is>
          <t>Virtus</t>
        </is>
      </c>
      <c r="D526" s="156" t="inlineStr">
        <is>
          <t>Virtus Comfortline</t>
        </is>
      </c>
      <c r="E526" s="157" t="n">
        <v>6</v>
      </c>
      <c r="F526" s="158" t="inlineStr">
        <is>
          <t>Candy White · Carbon Steel Matte Grey · Lava Blue · Reflex Silver · Rising Blue Metallic · Wild Cherry Red</t>
        </is>
      </c>
      <c r="G526" s="159" t="n">
        <v>6</v>
      </c>
    </row>
    <row r="527" ht="30" customHeight="1">
      <c r="A527" s="29" t="n">
        <v>523</v>
      </c>
      <c r="B527" s="153" t="inlineStr"/>
      <c r="C527" s="49" t="inlineStr"/>
      <c r="D527" s="32" t="inlineStr">
        <is>
          <t>Virtus GT</t>
        </is>
      </c>
      <c r="E527" s="33" t="n">
        <v>7</v>
      </c>
      <c r="F527" s="34" t="inlineStr">
        <is>
          <t>Candy White · Carbon Steel Matte Grey · Deep Black pearl · Lava Blue · Reflex Silver · Rising Blue Metallic · Wild Cherry Red</t>
        </is>
      </c>
      <c r="G527" s="17" t="n">
        <v>7</v>
      </c>
    </row>
    <row r="528" ht="30" customHeight="1">
      <c r="A528" s="154" t="n">
        <v>524</v>
      </c>
      <c r="B528" s="153" t="inlineStr"/>
      <c r="C528" s="160" t="inlineStr"/>
      <c r="D528" s="156" t="inlineStr">
        <is>
          <t>Virtus GT Line</t>
        </is>
      </c>
      <c r="E528" s="157" t="n">
        <v>7</v>
      </c>
      <c r="F528" s="158" t="inlineStr">
        <is>
          <t>Candy White · Carbon Steel Matte Grey · Deep Black pearl · Lava Blue · Reflex Silver · Rising Blue Metallic · Wild Cherry Red</t>
        </is>
      </c>
      <c r="G528" s="159" t="n">
        <v>7</v>
      </c>
    </row>
    <row r="529" ht="30" customHeight="1">
      <c r="A529" s="29" t="n">
        <v>525</v>
      </c>
      <c r="B529" s="153" t="inlineStr"/>
      <c r="C529" s="49" t="inlineStr"/>
      <c r="D529" s="32" t="inlineStr">
        <is>
          <t>Virtus GT Plus</t>
        </is>
      </c>
      <c r="E529" s="33" t="n">
        <v>7</v>
      </c>
      <c r="F529" s="34" t="inlineStr">
        <is>
          <t>Candy White · Carbon Steel Matte Grey · Deep Black pearl · Lava Blue · Reflex Silver · Rising Blue Metallic · Wild Cherry Red</t>
        </is>
      </c>
      <c r="G529" s="17" t="n">
        <v>7</v>
      </c>
    </row>
    <row r="530" ht="30" customHeight="1">
      <c r="A530" s="154" t="n">
        <v>526</v>
      </c>
      <c r="B530" s="153" t="inlineStr"/>
      <c r="C530" s="160" t="inlineStr"/>
      <c r="D530" s="156" t="inlineStr">
        <is>
          <t>Virtus Highline</t>
        </is>
      </c>
      <c r="E530" s="157" t="n">
        <v>6</v>
      </c>
      <c r="F530" s="158" t="inlineStr">
        <is>
          <t>Candy White · Carbon Steel Matte Grey · Lava Blue · Reflex Silver · Rising Blue Metallic · Wild Cherry Red</t>
        </is>
      </c>
      <c r="G530" s="159" t="n">
        <v>6</v>
      </c>
    </row>
    <row r="531" ht="30" customHeight="1">
      <c r="A531" s="29" t="n">
        <v>527</v>
      </c>
      <c r="B531" s="153" t="inlineStr"/>
      <c r="C531" s="49" t="inlineStr"/>
      <c r="D531" s="32" t="inlineStr">
        <is>
          <t>Virtus Highline Plus</t>
        </is>
      </c>
      <c r="E531" s="33" t="n">
        <v>6</v>
      </c>
      <c r="F531" s="34" t="inlineStr">
        <is>
          <t>Candy White · Carbon Steel Matte Grey · Lava Blue · Reflex Silver · Rising Blue Metallic · Wild Cherry Red</t>
        </is>
      </c>
      <c r="G531" s="17" t="n">
        <v>6</v>
      </c>
    </row>
    <row r="532" ht="30" customHeight="1">
      <c r="A532" s="154" t="n">
        <v>528</v>
      </c>
      <c r="B532" s="153" t="inlineStr"/>
      <c r="C532" s="160" t="inlineStr"/>
      <c r="D532" s="156" t="inlineStr">
        <is>
          <t>Virtus Topline</t>
        </is>
      </c>
      <c r="E532" s="157" t="n">
        <v>7</v>
      </c>
      <c r="F532" s="158" t="inlineStr">
        <is>
          <t>Candy White · Carbon Steel Matte Grey · Deep Black pearl · Lava Blue · Reflex Silver · Rising Blue Metallic · Wild Cherry Red</t>
        </is>
      </c>
      <c r="G532" s="159" t="n">
        <v>7</v>
      </c>
    </row>
  </sheetData>
  <mergeCells count="1">
    <mergeCell ref="A1:G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2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2" customWidth="1" min="4" max="4"/>
    <col width="15" customWidth="1" min="5" max="5"/>
    <col width="18" customWidth="1" min="6" max="6"/>
  </cols>
  <sheetData>
    <row r="1" ht="22" customHeight="1">
      <c r="A1" s="161" t="inlineStr">
        <is>
          <t>BRAND · MODEL BREAKDOWN — Variants &amp; Color Counts</t>
        </is>
      </c>
    </row>
    <row r="2" ht="22" customHeight="1"/>
    <row r="3" ht="8" customHeight="1"/>
    <row r="4" ht="20" customHeight="1">
      <c r="A4" s="28" t="inlineStr">
        <is>
          <t>#</t>
        </is>
      </c>
      <c r="B4" s="28" t="inlineStr">
        <is>
          <t>Brand</t>
        </is>
      </c>
      <c r="C4" s="28" t="inlineStr">
        <is>
          <t>Model</t>
        </is>
      </c>
      <c r="D4" s="28" t="inlineStr">
        <is>
          <t>Variants</t>
        </is>
      </c>
      <c r="E4" s="28" t="inlineStr">
        <is>
          <t>Total Colors</t>
        </is>
      </c>
      <c r="F4" s="28" t="inlineStr">
        <is>
          <t>Avg Colors/Variant</t>
        </is>
      </c>
    </row>
    <row r="5" ht="16" customHeight="1">
      <c r="A5" s="40" t="n">
        <v>1</v>
      </c>
      <c r="B5" s="162" t="inlineStr">
        <is>
          <t>Chevrolet</t>
        </is>
      </c>
      <c r="C5" s="163" t="inlineStr">
        <is>
          <t>Captiva</t>
        </is>
      </c>
      <c r="D5" s="40" t="n">
        <v>2</v>
      </c>
      <c r="E5" s="38" t="n">
        <v>2</v>
      </c>
      <c r="F5" s="164">
        <f>IFERROR(2/2,0)</f>
        <v/>
      </c>
    </row>
    <row r="6" ht="16" customHeight="1">
      <c r="A6" s="40" t="n">
        <v>2</v>
      </c>
      <c r="B6" s="162" t="inlineStr"/>
      <c r="C6" s="163" t="inlineStr">
        <is>
          <t>Cruze</t>
        </is>
      </c>
      <c r="D6" s="40" t="n">
        <v>1</v>
      </c>
      <c r="E6" s="38" t="n">
        <v>1</v>
      </c>
      <c r="F6" s="164">
        <f>IFERROR(1/1,0)</f>
        <v/>
      </c>
    </row>
    <row r="7" ht="16" customHeight="1">
      <c r="A7" s="40" t="n">
        <v>3</v>
      </c>
      <c r="B7" s="162" t="inlineStr"/>
      <c r="C7" s="163" t="inlineStr">
        <is>
          <t>Optra</t>
        </is>
      </c>
      <c r="D7" s="40" t="n">
        <v>1</v>
      </c>
      <c r="E7" s="38" t="n">
        <v>1</v>
      </c>
      <c r="F7" s="164">
        <f>IFERROR(1/1,0)</f>
        <v/>
      </c>
    </row>
    <row r="8" ht="16" customHeight="1">
      <c r="A8" s="40" t="n">
        <v>4</v>
      </c>
      <c r="B8" s="162" t="inlineStr"/>
      <c r="C8" s="163" t="inlineStr">
        <is>
          <t>Optra SRV</t>
        </is>
      </c>
      <c r="D8" s="40" t="n">
        <v>1</v>
      </c>
      <c r="E8" s="38" t="n">
        <v>1</v>
      </c>
      <c r="F8" s="164">
        <f>IFERROR(1/1,0)</f>
        <v/>
      </c>
    </row>
    <row r="9" ht="16" customHeight="1">
      <c r="A9" s="40" t="n">
        <v>5</v>
      </c>
      <c r="B9" s="162" t="inlineStr"/>
      <c r="C9" s="163" t="inlineStr">
        <is>
          <t>Sail</t>
        </is>
      </c>
      <c r="D9" s="40" t="n">
        <v>1</v>
      </c>
      <c r="E9" s="38" t="n">
        <v>1</v>
      </c>
      <c r="F9" s="164">
        <f>IFERROR(1/1,0)</f>
        <v/>
      </c>
    </row>
    <row r="10" ht="16" customHeight="1">
      <c r="A10" s="40" t="n">
        <v>6</v>
      </c>
      <c r="B10" s="162" t="inlineStr"/>
      <c r="C10" s="163" t="inlineStr">
        <is>
          <t>Tavera</t>
        </is>
      </c>
      <c r="D10" s="40" t="n">
        <v>1</v>
      </c>
      <c r="E10" s="38" t="n">
        <v>1</v>
      </c>
      <c r="F10" s="164">
        <f>IFERROR(1/1,0)</f>
        <v/>
      </c>
    </row>
    <row r="11" ht="16" customHeight="1">
      <c r="A11" s="40" t="n">
        <v>7</v>
      </c>
      <c r="B11" s="162" t="inlineStr"/>
      <c r="C11" s="163" t="inlineStr">
        <is>
          <t>beat</t>
        </is>
      </c>
      <c r="D11" s="40" t="n">
        <v>1</v>
      </c>
      <c r="E11" s="38" t="n">
        <v>7</v>
      </c>
      <c r="F11" s="164">
        <f>IFERROR(7/1,0)</f>
        <v/>
      </c>
    </row>
    <row r="12" ht="16" customHeight="1">
      <c r="A12" s="17" t="n">
        <v>8</v>
      </c>
      <c r="B12" s="165" t="inlineStr">
        <is>
          <t>Ford</t>
        </is>
      </c>
      <c r="C12" s="166" t="inlineStr">
        <is>
          <t>EcoSport</t>
        </is>
      </c>
      <c r="D12" s="17" t="n">
        <v>4</v>
      </c>
      <c r="E12" s="33" t="n">
        <v>28</v>
      </c>
      <c r="F12" s="19">
        <f>IFERROR(28/4,0)</f>
        <v/>
      </c>
    </row>
    <row r="13" ht="16" customHeight="1">
      <c r="A13" s="17" t="n">
        <v>9</v>
      </c>
      <c r="B13" s="165" t="inlineStr"/>
      <c r="C13" s="166" t="inlineStr">
        <is>
          <t>Endeavour (Everest)</t>
        </is>
      </c>
      <c r="D13" s="17" t="n">
        <v>2</v>
      </c>
      <c r="E13" s="33" t="n">
        <v>6</v>
      </c>
      <c r="F13" s="19">
        <f>IFERROR(6/2,0)</f>
        <v/>
      </c>
    </row>
    <row r="14" ht="16" customHeight="1">
      <c r="A14" s="17" t="n">
        <v>10</v>
      </c>
      <c r="B14" s="165" t="inlineStr"/>
      <c r="C14" s="166" t="inlineStr">
        <is>
          <t>Fiesta Classic</t>
        </is>
      </c>
      <c r="D14" s="17" t="n">
        <v>3</v>
      </c>
      <c r="E14" s="33" t="n">
        <v>3</v>
      </c>
      <c r="F14" s="19">
        <f>IFERROR(3/3,0)</f>
        <v/>
      </c>
    </row>
    <row r="15" ht="16" customHeight="1">
      <c r="A15" s="17" t="n">
        <v>11</v>
      </c>
      <c r="B15" s="165" t="inlineStr"/>
      <c r="C15" s="166" t="inlineStr">
        <is>
          <t>Figo</t>
        </is>
      </c>
      <c r="D15" s="17" t="n">
        <v>3</v>
      </c>
      <c r="E15" s="33" t="n">
        <v>12</v>
      </c>
      <c r="F15" s="19">
        <f>IFERROR(12/3,0)</f>
        <v/>
      </c>
    </row>
    <row r="16" ht="16" customHeight="1">
      <c r="A16" s="17" t="n">
        <v>12</v>
      </c>
      <c r="B16" s="165" t="inlineStr"/>
      <c r="C16" s="166" t="inlineStr">
        <is>
          <t>Freestyle Aspire</t>
        </is>
      </c>
      <c r="D16" s="17" t="n">
        <v>3</v>
      </c>
      <c r="E16" s="33" t="n">
        <v>15</v>
      </c>
      <c r="F16" s="19">
        <f>IFERROR(15/3,0)</f>
        <v/>
      </c>
    </row>
    <row r="17" ht="16" customHeight="1">
      <c r="A17" s="57" t="n">
        <v>13</v>
      </c>
      <c r="B17" s="167" t="inlineStr">
        <is>
          <t>Honda</t>
        </is>
      </c>
      <c r="C17" s="168" t="inlineStr">
        <is>
          <t>Amaze</t>
        </is>
      </c>
      <c r="D17" s="57" t="n">
        <v>8</v>
      </c>
      <c r="E17" s="55" t="n">
        <v>48</v>
      </c>
      <c r="F17" s="169">
        <f>IFERROR(48/8,0)</f>
        <v/>
      </c>
    </row>
    <row r="18" ht="16" customHeight="1">
      <c r="A18" s="57" t="n">
        <v>14</v>
      </c>
      <c r="B18" s="167" t="inlineStr"/>
      <c r="C18" s="168" t="inlineStr">
        <is>
          <t>BR-V</t>
        </is>
      </c>
      <c r="D18" s="57" t="n">
        <v>5</v>
      </c>
      <c r="E18" s="55" t="n">
        <v>25</v>
      </c>
      <c r="F18" s="169">
        <f>IFERROR(25/5,0)</f>
        <v/>
      </c>
    </row>
    <row r="19" ht="16" customHeight="1">
      <c r="A19" s="57" t="n">
        <v>15</v>
      </c>
      <c r="B19" s="167" t="inlineStr"/>
      <c r="C19" s="168" t="inlineStr">
        <is>
          <t>City</t>
        </is>
      </c>
      <c r="D19" s="57" t="n">
        <v>4</v>
      </c>
      <c r="E19" s="55" t="n">
        <v>22</v>
      </c>
      <c r="F19" s="169">
        <f>IFERROR(22/4,0)</f>
        <v/>
      </c>
    </row>
    <row r="20" ht="16" customHeight="1">
      <c r="A20" s="57" t="n">
        <v>16</v>
      </c>
      <c r="B20" s="167" t="inlineStr"/>
      <c r="C20" s="168" t="inlineStr">
        <is>
          <t>Elevate</t>
        </is>
      </c>
      <c r="D20" s="57" t="n">
        <v>6</v>
      </c>
      <c r="E20" s="55" t="n">
        <v>23</v>
      </c>
      <c r="F20" s="169">
        <f>IFERROR(23/6,0)</f>
        <v/>
      </c>
    </row>
    <row r="21" ht="16" customHeight="1">
      <c r="A21" s="57" t="n">
        <v>17</v>
      </c>
      <c r="B21" s="167" t="inlineStr"/>
      <c r="C21" s="168" t="inlineStr">
        <is>
          <t>Jazz</t>
        </is>
      </c>
      <c r="D21" s="57" t="n">
        <v>4</v>
      </c>
      <c r="E21" s="55" t="n">
        <v>16</v>
      </c>
      <c r="F21" s="169">
        <f>IFERROR(16/4,0)</f>
        <v/>
      </c>
    </row>
    <row r="22" ht="16" customHeight="1">
      <c r="A22" s="57" t="n">
        <v>18</v>
      </c>
      <c r="B22" s="167" t="inlineStr"/>
      <c r="C22" s="168" t="inlineStr">
        <is>
          <t>WR-V</t>
        </is>
      </c>
      <c r="D22" s="57" t="n">
        <v>6</v>
      </c>
      <c r="E22" s="55" t="n">
        <v>24</v>
      </c>
      <c r="F22" s="169">
        <f>IFERROR(24/6,0)</f>
        <v/>
      </c>
    </row>
    <row r="23" ht="16" customHeight="1">
      <c r="A23" s="17" t="n">
        <v>19</v>
      </c>
      <c r="B23" s="165" t="inlineStr">
        <is>
          <t>Hyundai</t>
        </is>
      </c>
      <c r="C23" s="166" t="inlineStr">
        <is>
          <t>Alcazar</t>
        </is>
      </c>
      <c r="D23" s="17" t="n">
        <v>6</v>
      </c>
      <c r="E23" s="33" t="n">
        <v>24</v>
      </c>
      <c r="F23" s="19">
        <f>IFERROR(24/6,0)</f>
        <v/>
      </c>
    </row>
    <row r="24" ht="16" customHeight="1">
      <c r="A24" s="17" t="n">
        <v>20</v>
      </c>
      <c r="B24" s="165" t="inlineStr"/>
      <c r="C24" s="166" t="inlineStr">
        <is>
          <t>Creta</t>
        </is>
      </c>
      <c r="D24" s="17" t="n">
        <v>14</v>
      </c>
      <c r="E24" s="33" t="n">
        <v>48</v>
      </c>
      <c r="F24" s="19">
        <f>IFERROR(48/14,0)</f>
        <v/>
      </c>
    </row>
    <row r="25" ht="16" customHeight="1">
      <c r="A25" s="17" t="n">
        <v>21</v>
      </c>
      <c r="B25" s="165" t="inlineStr"/>
      <c r="C25" s="166" t="inlineStr">
        <is>
          <t>Exter</t>
        </is>
      </c>
      <c r="D25" s="17" t="n">
        <v>7</v>
      </c>
      <c r="E25" s="33" t="n">
        <v>49</v>
      </c>
      <c r="F25" s="19">
        <f>IFERROR(49/7,0)</f>
        <v/>
      </c>
    </row>
    <row r="26" ht="16" customHeight="1">
      <c r="A26" s="17" t="n">
        <v>22</v>
      </c>
      <c r="B26" s="165" t="inlineStr"/>
      <c r="C26" s="166" t="inlineStr">
        <is>
          <t>Grand i10 Nios</t>
        </is>
      </c>
      <c r="D26" s="17" t="n">
        <v>6</v>
      </c>
      <c r="E26" s="33" t="n">
        <v>27</v>
      </c>
      <c r="F26" s="19">
        <f>IFERROR(27/6,0)</f>
        <v/>
      </c>
    </row>
    <row r="27" ht="16" customHeight="1">
      <c r="A27" s="17" t="n">
        <v>23</v>
      </c>
      <c r="B27" s="165" t="inlineStr"/>
      <c r="C27" s="166" t="inlineStr">
        <is>
          <t>Venue</t>
        </is>
      </c>
      <c r="D27" s="17" t="n">
        <v>9</v>
      </c>
      <c r="E27" s="33" t="n">
        <v>60</v>
      </c>
      <c r="F27" s="19">
        <f>IFERROR(60/9,0)</f>
        <v/>
      </c>
    </row>
    <row r="28" ht="16" customHeight="1">
      <c r="A28" s="17" t="n">
        <v>24</v>
      </c>
      <c r="B28" s="165" t="inlineStr"/>
      <c r="C28" s="166" t="inlineStr">
        <is>
          <t>Verna</t>
        </is>
      </c>
      <c r="D28" s="17" t="n">
        <v>6</v>
      </c>
      <c r="E28" s="33" t="n">
        <v>11</v>
      </c>
      <c r="F28" s="19">
        <f>IFERROR(11/6,0)</f>
        <v/>
      </c>
    </row>
    <row r="29" ht="16" customHeight="1">
      <c r="A29" s="17" t="n">
        <v>25</v>
      </c>
      <c r="B29" s="165" t="inlineStr"/>
      <c r="C29" s="166" t="inlineStr">
        <is>
          <t>i20</t>
        </is>
      </c>
      <c r="D29" s="17" t="n">
        <v>9</v>
      </c>
      <c r="E29" s="33" t="n">
        <v>44</v>
      </c>
      <c r="F29" s="19">
        <f>IFERROR(44/9,0)</f>
        <v/>
      </c>
    </row>
    <row r="30" ht="16" customHeight="1">
      <c r="A30" s="73" t="n">
        <v>26</v>
      </c>
      <c r="B30" s="170" t="inlineStr">
        <is>
          <t>Isuzu</t>
        </is>
      </c>
      <c r="C30" s="171" t="inlineStr">
        <is>
          <t>D-Max</t>
        </is>
      </c>
      <c r="D30" s="73" t="n">
        <v>1</v>
      </c>
      <c r="E30" s="71" t="n">
        <v>8</v>
      </c>
      <c r="F30" s="172">
        <f>IFERROR(8/1,0)</f>
        <v/>
      </c>
    </row>
    <row r="31" ht="16" customHeight="1">
      <c r="A31" s="73" t="n">
        <v>27</v>
      </c>
      <c r="B31" s="170" t="inlineStr"/>
      <c r="C31" s="171" t="inlineStr">
        <is>
          <t>Hi-Lander</t>
        </is>
      </c>
      <c r="D31" s="73" t="n">
        <v>1</v>
      </c>
      <c r="E31" s="71" t="n">
        <v>1</v>
      </c>
      <c r="F31" s="172">
        <f>IFERROR(1/1,0)</f>
        <v/>
      </c>
    </row>
    <row r="32" ht="16" customHeight="1">
      <c r="A32" s="73" t="n">
        <v>28</v>
      </c>
      <c r="B32" s="170" t="inlineStr"/>
      <c r="C32" s="171" t="inlineStr">
        <is>
          <t>MU-X</t>
        </is>
      </c>
      <c r="D32" s="73" t="n">
        <v>2</v>
      </c>
      <c r="E32" s="71" t="n">
        <v>12</v>
      </c>
      <c r="F32" s="172">
        <f>IFERROR(12/2,0)</f>
        <v/>
      </c>
    </row>
    <row r="33" ht="16" customHeight="1">
      <c r="A33" s="73" t="n">
        <v>29</v>
      </c>
      <c r="B33" s="170" t="inlineStr"/>
      <c r="C33" s="171" t="inlineStr">
        <is>
          <t>V-Cross</t>
        </is>
      </c>
      <c r="D33" s="73" t="n">
        <v>3</v>
      </c>
      <c r="E33" s="71" t="n">
        <v>21</v>
      </c>
      <c r="F33" s="172">
        <f>IFERROR(21/3,0)</f>
        <v/>
      </c>
    </row>
    <row r="34" ht="16" customHeight="1">
      <c r="A34" s="17" t="n">
        <v>30</v>
      </c>
      <c r="B34" s="165" t="inlineStr">
        <is>
          <t>Jeep</t>
        </is>
      </c>
      <c r="C34" s="166" t="inlineStr">
        <is>
          <t>Compass</t>
        </is>
      </c>
      <c r="D34" s="17" t="n">
        <v>7</v>
      </c>
      <c r="E34" s="33" t="n">
        <v>44</v>
      </c>
      <c r="F34" s="19">
        <f>IFERROR(44/7,0)</f>
        <v/>
      </c>
    </row>
    <row r="35" ht="16" customHeight="1">
      <c r="A35" s="17" t="n">
        <v>31</v>
      </c>
      <c r="B35" s="165" t="inlineStr"/>
      <c r="C35" s="166" t="inlineStr">
        <is>
          <t>Grand Cherokee</t>
        </is>
      </c>
      <c r="D35" s="17" t="n">
        <v>2</v>
      </c>
      <c r="E35" s="33" t="n">
        <v>8</v>
      </c>
      <c r="F35" s="19">
        <f>IFERROR(8/2,0)</f>
        <v/>
      </c>
    </row>
    <row r="36" ht="16" customHeight="1">
      <c r="A36" s="17" t="n">
        <v>32</v>
      </c>
      <c r="B36" s="165" t="inlineStr"/>
      <c r="C36" s="166" t="inlineStr">
        <is>
          <t>Meridian</t>
        </is>
      </c>
      <c r="D36" s="17" t="n">
        <v>6</v>
      </c>
      <c r="E36" s="33" t="n">
        <v>37</v>
      </c>
      <c r="F36" s="19">
        <f>IFERROR(37/6,0)</f>
        <v/>
      </c>
    </row>
    <row r="37" ht="16" customHeight="1">
      <c r="A37" s="17" t="n">
        <v>33</v>
      </c>
      <c r="B37" s="165" t="inlineStr"/>
      <c r="C37" s="166" t="inlineStr">
        <is>
          <t>Wrangler</t>
        </is>
      </c>
      <c r="D37" s="17" t="n">
        <v>3</v>
      </c>
      <c r="E37" s="33" t="n">
        <v>15</v>
      </c>
      <c r="F37" s="19">
        <f>IFERROR(15/3,0)</f>
        <v/>
      </c>
    </row>
    <row r="38" ht="16" customHeight="1">
      <c r="A38" s="89" t="n">
        <v>34</v>
      </c>
      <c r="B38" s="173" t="inlineStr">
        <is>
          <t>Kia</t>
        </is>
      </c>
      <c r="C38" s="174" t="inlineStr">
        <is>
          <t>Carens</t>
        </is>
      </c>
      <c r="D38" s="89" t="n">
        <v>1</v>
      </c>
      <c r="E38" s="87" t="n">
        <v>6</v>
      </c>
      <c r="F38" s="175">
        <f>IFERROR(6/1,0)</f>
        <v/>
      </c>
    </row>
    <row r="39" ht="16" customHeight="1">
      <c r="A39" s="89" t="n">
        <v>35</v>
      </c>
      <c r="B39" s="173" t="inlineStr"/>
      <c r="C39" s="174" t="inlineStr">
        <is>
          <t>Carnival</t>
        </is>
      </c>
      <c r="D39" s="89" t="n">
        <v>1</v>
      </c>
      <c r="E39" s="87" t="n">
        <v>2</v>
      </c>
      <c r="F39" s="175">
        <f>IFERROR(2/1,0)</f>
        <v/>
      </c>
    </row>
    <row r="40" ht="16" customHeight="1">
      <c r="A40" s="89" t="n">
        <v>36</v>
      </c>
      <c r="B40" s="173" t="inlineStr"/>
      <c r="C40" s="174" t="inlineStr">
        <is>
          <t>EV6</t>
        </is>
      </c>
      <c r="D40" s="89" t="n">
        <v>1</v>
      </c>
      <c r="E40" s="87" t="n">
        <v>5</v>
      </c>
      <c r="F40" s="175">
        <f>IFERROR(5/1,0)</f>
        <v/>
      </c>
    </row>
    <row r="41" ht="16" customHeight="1">
      <c r="A41" s="89" t="n">
        <v>37</v>
      </c>
      <c r="B41" s="173" t="inlineStr"/>
      <c r="C41" s="174" t="inlineStr">
        <is>
          <t>EV9</t>
        </is>
      </c>
      <c r="D41" s="89" t="n">
        <v>1</v>
      </c>
      <c r="E41" s="87" t="n">
        <v>5</v>
      </c>
      <c r="F41" s="175">
        <f>IFERROR(5/1,0)</f>
        <v/>
      </c>
    </row>
    <row r="42" ht="16" customHeight="1">
      <c r="A42" s="89" t="n">
        <v>38</v>
      </c>
      <c r="B42" s="173" t="inlineStr"/>
      <c r="C42" s="174" t="inlineStr">
        <is>
          <t>Seltos</t>
        </is>
      </c>
      <c r="D42" s="89" t="n">
        <v>12</v>
      </c>
      <c r="E42" s="87" t="n">
        <v>80</v>
      </c>
      <c r="F42" s="175">
        <f>IFERROR(80/12,0)</f>
        <v/>
      </c>
    </row>
    <row r="43" ht="16" customHeight="1">
      <c r="A43" s="89" t="n">
        <v>39</v>
      </c>
      <c r="B43" s="173" t="inlineStr"/>
      <c r="C43" s="174" t="inlineStr">
        <is>
          <t>Sonet</t>
        </is>
      </c>
      <c r="D43" s="89" t="n">
        <v>8</v>
      </c>
      <c r="E43" s="87" t="n">
        <v>41</v>
      </c>
      <c r="F43" s="175">
        <f>IFERROR(41/8,0)</f>
        <v/>
      </c>
    </row>
    <row r="44" ht="16" customHeight="1">
      <c r="A44" s="89" t="n">
        <v>40</v>
      </c>
      <c r="B44" s="173" t="inlineStr"/>
      <c r="C44" s="174" t="inlineStr">
        <is>
          <t>Syros</t>
        </is>
      </c>
      <c r="D44" s="89" t="n">
        <v>7</v>
      </c>
      <c r="E44" s="87" t="n">
        <v>63</v>
      </c>
      <c r="F44" s="175">
        <f>IFERROR(63/7,0)</f>
        <v/>
      </c>
    </row>
    <row r="45" ht="16" customHeight="1">
      <c r="A45" s="17" t="n">
        <v>41</v>
      </c>
      <c r="B45" s="165" t="inlineStr">
        <is>
          <t>MG</t>
        </is>
      </c>
      <c r="C45" s="166" t="inlineStr">
        <is>
          <t>Astor</t>
        </is>
      </c>
      <c r="D45" s="17" t="n">
        <v>5</v>
      </c>
      <c r="E45" s="33" t="n">
        <v>21</v>
      </c>
      <c r="F45" s="19">
        <f>IFERROR(21/5,0)</f>
        <v/>
      </c>
    </row>
    <row r="46" ht="16" customHeight="1">
      <c r="A46" s="17" t="n">
        <v>42</v>
      </c>
      <c r="B46" s="165" t="inlineStr"/>
      <c r="C46" s="166" t="inlineStr">
        <is>
          <t>Comet EV</t>
        </is>
      </c>
      <c r="D46" s="17" t="n">
        <v>5</v>
      </c>
      <c r="E46" s="33" t="n">
        <v>12</v>
      </c>
      <c r="F46" s="19">
        <f>IFERROR(12/5,0)</f>
        <v/>
      </c>
    </row>
    <row r="47" ht="16" customHeight="1">
      <c r="A47" s="17" t="n">
        <v>43</v>
      </c>
      <c r="B47" s="165" t="inlineStr"/>
      <c r="C47" s="166" t="inlineStr">
        <is>
          <t>Gloster</t>
        </is>
      </c>
      <c r="D47" s="17" t="n">
        <v>5</v>
      </c>
      <c r="E47" s="33" t="n">
        <v>17</v>
      </c>
      <c r="F47" s="19">
        <f>IFERROR(17/5,0)</f>
        <v/>
      </c>
    </row>
    <row r="48" ht="16" customHeight="1">
      <c r="A48" s="17" t="n">
        <v>44</v>
      </c>
      <c r="B48" s="165" t="inlineStr"/>
      <c r="C48" s="166" t="inlineStr">
        <is>
          <t>Hector</t>
        </is>
      </c>
      <c r="D48" s="17" t="n">
        <v>5</v>
      </c>
      <c r="E48" s="33" t="n">
        <v>25</v>
      </c>
      <c r="F48" s="19">
        <f>IFERROR(25/5,0)</f>
        <v/>
      </c>
    </row>
    <row r="49" ht="16" customHeight="1">
      <c r="A49" s="17" t="n">
        <v>45</v>
      </c>
      <c r="B49" s="165" t="inlineStr"/>
      <c r="C49" s="166" t="inlineStr">
        <is>
          <t>Windsor EV</t>
        </is>
      </c>
      <c r="D49" s="17" t="n">
        <v>6</v>
      </c>
      <c r="E49" s="33" t="n">
        <v>17</v>
      </c>
      <c r="F49" s="19">
        <f>IFERROR(17/6,0)</f>
        <v/>
      </c>
    </row>
    <row r="50" ht="16" customHeight="1">
      <c r="A50" s="17" t="n">
        <v>46</v>
      </c>
      <c r="B50" s="165" t="inlineStr"/>
      <c r="C50" s="166" t="inlineStr">
        <is>
          <t>ZS EV</t>
        </is>
      </c>
      <c r="D50" s="17" t="n">
        <v>5</v>
      </c>
      <c r="E50" s="33" t="n">
        <v>16</v>
      </c>
      <c r="F50" s="19">
        <f>IFERROR(16/5,0)</f>
        <v/>
      </c>
    </row>
    <row r="51" ht="16" customHeight="1">
      <c r="A51" s="105" t="n">
        <v>47</v>
      </c>
      <c r="B51" s="176" t="inlineStr">
        <is>
          <t>Mahindra</t>
        </is>
      </c>
      <c r="C51" s="177" t="inlineStr">
        <is>
          <t>BE 6</t>
        </is>
      </c>
      <c r="D51" s="105" t="n">
        <v>6</v>
      </c>
      <c r="E51" s="103" t="n">
        <v>41</v>
      </c>
      <c r="F51" s="178">
        <f>IFERROR(41/6,0)</f>
        <v/>
      </c>
    </row>
    <row r="52" ht="16" customHeight="1">
      <c r="A52" s="105" t="n">
        <v>48</v>
      </c>
      <c r="B52" s="176" t="inlineStr"/>
      <c r="C52" s="177" t="inlineStr">
        <is>
          <t>Bolero</t>
        </is>
      </c>
      <c r="D52" s="105" t="n">
        <v>4</v>
      </c>
      <c r="E52" s="103" t="n">
        <v>16</v>
      </c>
      <c r="F52" s="178">
        <f>IFERROR(16/4,0)</f>
        <v/>
      </c>
    </row>
    <row r="53" ht="16" customHeight="1">
      <c r="A53" s="105" t="n">
        <v>49</v>
      </c>
      <c r="B53" s="176" t="inlineStr"/>
      <c r="C53" s="177" t="inlineStr">
        <is>
          <t>Scorpio</t>
        </is>
      </c>
      <c r="D53" s="105" t="n">
        <v>7</v>
      </c>
      <c r="E53" s="103" t="n">
        <v>30</v>
      </c>
      <c r="F53" s="178">
        <f>IFERROR(30/7,0)</f>
        <v/>
      </c>
    </row>
    <row r="54" ht="16" customHeight="1">
      <c r="A54" s="105" t="n">
        <v>50</v>
      </c>
      <c r="B54" s="176" t="inlineStr"/>
      <c r="C54" s="177" t="inlineStr">
        <is>
          <t>Thar</t>
        </is>
      </c>
      <c r="D54" s="105" t="n">
        <v>6</v>
      </c>
      <c r="E54" s="103" t="n">
        <v>35</v>
      </c>
      <c r="F54" s="178">
        <f>IFERROR(35/6,0)</f>
        <v/>
      </c>
    </row>
    <row r="55" ht="16" customHeight="1">
      <c r="A55" s="105" t="n">
        <v>51</v>
      </c>
      <c r="B55" s="176" t="inlineStr"/>
      <c r="C55" s="177" t="inlineStr">
        <is>
          <t>XEV 9e</t>
        </is>
      </c>
      <c r="D55" s="105" t="n">
        <v>5</v>
      </c>
      <c r="E55" s="103" t="n">
        <v>30</v>
      </c>
      <c r="F55" s="178">
        <f>IFERROR(30/5,0)</f>
        <v/>
      </c>
    </row>
    <row r="56" ht="16" customHeight="1">
      <c r="A56" s="105" t="n">
        <v>52</v>
      </c>
      <c r="B56" s="176" t="inlineStr"/>
      <c r="C56" s="177" t="inlineStr">
        <is>
          <t>XUV 3XO</t>
        </is>
      </c>
      <c r="D56" s="105" t="n">
        <v>12</v>
      </c>
      <c r="E56" s="103" t="n">
        <v>18</v>
      </c>
      <c r="F56" s="178">
        <f>IFERROR(18/12,0)</f>
        <v/>
      </c>
    </row>
    <row r="57" ht="16" customHeight="1">
      <c r="A57" s="105" t="n">
        <v>53</v>
      </c>
      <c r="B57" s="176" t="inlineStr"/>
      <c r="C57" s="177" t="inlineStr">
        <is>
          <t>XUV 400 EV</t>
        </is>
      </c>
      <c r="D57" s="105" t="n">
        <v>2</v>
      </c>
      <c r="E57" s="103" t="n">
        <v>8</v>
      </c>
      <c r="F57" s="178">
        <f>IFERROR(8/2,0)</f>
        <v/>
      </c>
    </row>
    <row r="58" ht="16" customHeight="1">
      <c r="A58" s="105" t="n">
        <v>54</v>
      </c>
      <c r="B58" s="176" t="inlineStr"/>
      <c r="C58" s="177" t="inlineStr">
        <is>
          <t>XUV 7XO</t>
        </is>
      </c>
      <c r="D58" s="105" t="n">
        <v>6</v>
      </c>
      <c r="E58" s="103" t="n">
        <v>39</v>
      </c>
      <c r="F58" s="178">
        <f>IFERROR(39/6,0)</f>
        <v/>
      </c>
    </row>
    <row r="59" ht="16" customHeight="1">
      <c r="A59" s="17" t="n">
        <v>55</v>
      </c>
      <c r="B59" s="165" t="inlineStr">
        <is>
          <t>Maruti Suzuki</t>
        </is>
      </c>
      <c r="C59" s="166" t="inlineStr">
        <is>
          <t>Alto K10</t>
        </is>
      </c>
      <c r="D59" s="17" t="n">
        <v>4</v>
      </c>
      <c r="E59" s="33" t="n">
        <v>26</v>
      </c>
      <c r="F59" s="19">
        <f>IFERROR(26/4,0)</f>
        <v/>
      </c>
    </row>
    <row r="60" ht="16" customHeight="1">
      <c r="A60" s="17" t="n">
        <v>56</v>
      </c>
      <c r="B60" s="165" t="inlineStr"/>
      <c r="C60" s="166" t="inlineStr">
        <is>
          <t>Baleno</t>
        </is>
      </c>
      <c r="D60" s="17" t="n">
        <v>4</v>
      </c>
      <c r="E60" s="33" t="n">
        <v>26</v>
      </c>
      <c r="F60" s="19">
        <f>IFERROR(26/4,0)</f>
        <v/>
      </c>
    </row>
    <row r="61" ht="16" customHeight="1">
      <c r="A61" s="17" t="n">
        <v>57</v>
      </c>
      <c r="B61" s="165" t="inlineStr"/>
      <c r="C61" s="166" t="inlineStr">
        <is>
          <t>Brezza</t>
        </is>
      </c>
      <c r="D61" s="17" t="n">
        <v>4</v>
      </c>
      <c r="E61" s="33" t="n">
        <v>22</v>
      </c>
      <c r="F61" s="19">
        <f>IFERROR(22/4,0)</f>
        <v/>
      </c>
    </row>
    <row r="62" ht="16" customHeight="1">
      <c r="A62" s="17" t="n">
        <v>58</v>
      </c>
      <c r="B62" s="165" t="inlineStr"/>
      <c r="C62" s="166" t="inlineStr">
        <is>
          <t>Celerio</t>
        </is>
      </c>
      <c r="D62" s="17" t="n">
        <v>4</v>
      </c>
      <c r="E62" s="33" t="n">
        <v>27</v>
      </c>
      <c r="F62" s="19">
        <f>IFERROR(27/4,0)</f>
        <v/>
      </c>
    </row>
    <row r="63" ht="16" customHeight="1">
      <c r="A63" s="17" t="n">
        <v>59</v>
      </c>
      <c r="B63" s="165" t="inlineStr"/>
      <c r="C63" s="166" t="inlineStr">
        <is>
          <t>Ciaz</t>
        </is>
      </c>
      <c r="D63" s="17" t="n">
        <v>4</v>
      </c>
      <c r="E63" s="33" t="n">
        <v>22</v>
      </c>
      <c r="F63" s="19">
        <f>IFERROR(22/4,0)</f>
        <v/>
      </c>
    </row>
    <row r="64" ht="16" customHeight="1">
      <c r="A64" s="17" t="n">
        <v>60</v>
      </c>
      <c r="B64" s="165" t="inlineStr"/>
      <c r="C64" s="166" t="inlineStr">
        <is>
          <t>Dzire</t>
        </is>
      </c>
      <c r="D64" s="17" t="n">
        <v>4</v>
      </c>
      <c r="E64" s="33" t="n">
        <v>28</v>
      </c>
      <c r="F64" s="19">
        <f>IFERROR(28/4,0)</f>
        <v/>
      </c>
    </row>
    <row r="65" ht="16" customHeight="1">
      <c r="A65" s="17" t="n">
        <v>61</v>
      </c>
      <c r="B65" s="165" t="inlineStr"/>
      <c r="C65" s="166" t="inlineStr">
        <is>
          <t>Eeco</t>
        </is>
      </c>
      <c r="D65" s="17" t="n">
        <v>2</v>
      </c>
      <c r="E65" s="33" t="n">
        <v>8</v>
      </c>
      <c r="F65" s="19">
        <f>IFERROR(8/2,0)</f>
        <v/>
      </c>
    </row>
    <row r="66" ht="16" customHeight="1">
      <c r="A66" s="17" t="n">
        <v>62</v>
      </c>
      <c r="B66" s="165" t="inlineStr"/>
      <c r="C66" s="166" t="inlineStr">
        <is>
          <t>Ertiga</t>
        </is>
      </c>
      <c r="D66" s="17" t="n">
        <v>4</v>
      </c>
      <c r="E66" s="33" t="n">
        <v>25</v>
      </c>
      <c r="F66" s="19">
        <f>IFERROR(25/4,0)</f>
        <v/>
      </c>
    </row>
    <row r="67" ht="16" customHeight="1">
      <c r="A67" s="17" t="n">
        <v>63</v>
      </c>
      <c r="B67" s="165" t="inlineStr"/>
      <c r="C67" s="166" t="inlineStr">
        <is>
          <t>Fronx</t>
        </is>
      </c>
      <c r="D67" s="17" t="n">
        <v>5</v>
      </c>
      <c r="E67" s="33" t="n">
        <v>30</v>
      </c>
      <c r="F67" s="19">
        <f>IFERROR(30/5,0)</f>
        <v/>
      </c>
    </row>
    <row r="68" ht="16" customHeight="1">
      <c r="A68" s="17" t="n">
        <v>64</v>
      </c>
      <c r="B68" s="165" t="inlineStr"/>
      <c r="C68" s="166" t="inlineStr">
        <is>
          <t>Grand Vitara</t>
        </is>
      </c>
      <c r="D68" s="17" t="n">
        <v>11</v>
      </c>
      <c r="E68" s="33" t="n">
        <v>67</v>
      </c>
      <c r="F68" s="19">
        <f>IFERROR(67/11,0)</f>
        <v/>
      </c>
    </row>
    <row r="69" ht="16" customHeight="1">
      <c r="A69" s="17" t="n">
        <v>65</v>
      </c>
      <c r="B69" s="165" t="inlineStr"/>
      <c r="C69" s="166" t="inlineStr">
        <is>
          <t>Ignis</t>
        </is>
      </c>
      <c r="D69" s="17" t="n">
        <v>4</v>
      </c>
      <c r="E69" s="33" t="n">
        <v>24</v>
      </c>
      <c r="F69" s="19">
        <f>IFERROR(24/4,0)</f>
        <v/>
      </c>
    </row>
    <row r="70" ht="16" customHeight="1">
      <c r="A70" s="17" t="n">
        <v>66</v>
      </c>
      <c r="B70" s="165" t="inlineStr"/>
      <c r="C70" s="166" t="inlineStr">
        <is>
          <t>Invicto</t>
        </is>
      </c>
      <c r="D70" s="17" t="n">
        <v>2</v>
      </c>
      <c r="E70" s="33" t="n">
        <v>8</v>
      </c>
      <c r="F70" s="19">
        <f>IFERROR(8/2,0)</f>
        <v/>
      </c>
    </row>
    <row r="71" ht="16" customHeight="1">
      <c r="A71" s="17" t="n">
        <v>67</v>
      </c>
      <c r="B71" s="165" t="inlineStr"/>
      <c r="C71" s="166" t="inlineStr">
        <is>
          <t>Jimmy</t>
        </is>
      </c>
      <c r="D71" s="17" t="n">
        <v>2</v>
      </c>
      <c r="E71" s="33" t="n">
        <v>9</v>
      </c>
      <c r="F71" s="19">
        <f>IFERROR(9/2,0)</f>
        <v/>
      </c>
    </row>
    <row r="72" ht="16" customHeight="1">
      <c r="A72" s="17" t="n">
        <v>68</v>
      </c>
      <c r="B72" s="165" t="inlineStr"/>
      <c r="C72" s="166" t="inlineStr">
        <is>
          <t>S-Cross</t>
        </is>
      </c>
      <c r="D72" s="17" t="n">
        <v>4</v>
      </c>
      <c r="E72" s="33" t="n">
        <v>20</v>
      </c>
      <c r="F72" s="19">
        <f>IFERROR(20/4,0)</f>
        <v/>
      </c>
    </row>
    <row r="73" ht="16" customHeight="1">
      <c r="A73" s="17" t="n">
        <v>69</v>
      </c>
      <c r="B73" s="165" t="inlineStr"/>
      <c r="C73" s="166" t="inlineStr">
        <is>
          <t>S-Presso</t>
        </is>
      </c>
      <c r="D73" s="17" t="n">
        <v>4</v>
      </c>
      <c r="E73" s="33" t="n">
        <v>24</v>
      </c>
      <c r="F73" s="19">
        <f>IFERROR(24/4,0)</f>
        <v/>
      </c>
    </row>
    <row r="74" ht="16" customHeight="1">
      <c r="A74" s="17" t="n">
        <v>70</v>
      </c>
      <c r="B74" s="165" t="inlineStr"/>
      <c r="C74" s="166" t="inlineStr">
        <is>
          <t>Swift</t>
        </is>
      </c>
      <c r="D74" s="17" t="n">
        <v>5</v>
      </c>
      <c r="E74" s="33" t="n">
        <v>26</v>
      </c>
      <c r="F74" s="19">
        <f>IFERROR(26/5,0)</f>
        <v/>
      </c>
    </row>
    <row r="75" ht="16" customHeight="1">
      <c r="A75" s="17" t="n">
        <v>71</v>
      </c>
      <c r="B75" s="165" t="inlineStr"/>
      <c r="C75" s="166" t="inlineStr">
        <is>
          <t>Swift Dzire</t>
        </is>
      </c>
      <c r="D75" s="17" t="n">
        <v>7</v>
      </c>
      <c r="E75" s="33" t="n">
        <v>7</v>
      </c>
      <c r="F75" s="19">
        <f>IFERROR(7/7,0)</f>
        <v/>
      </c>
    </row>
    <row r="76" ht="16" customHeight="1">
      <c r="A76" s="17" t="n">
        <v>72</v>
      </c>
      <c r="B76" s="165" t="inlineStr"/>
      <c r="C76" s="166" t="inlineStr">
        <is>
          <t>Victoris</t>
        </is>
      </c>
      <c r="D76" s="17" t="n">
        <v>6</v>
      </c>
      <c r="E76" s="33" t="n">
        <v>40</v>
      </c>
      <c r="F76" s="19">
        <f>IFERROR(40/6,0)</f>
        <v/>
      </c>
    </row>
    <row r="77" ht="16" customHeight="1">
      <c r="A77" s="17" t="n">
        <v>73</v>
      </c>
      <c r="B77" s="165" t="inlineStr"/>
      <c r="C77" s="166" t="inlineStr">
        <is>
          <t>WagnoR</t>
        </is>
      </c>
      <c r="D77" s="17" t="n">
        <v>4</v>
      </c>
      <c r="E77" s="33" t="n">
        <v>20</v>
      </c>
      <c r="F77" s="19">
        <f>IFERROR(20/4,0)</f>
        <v/>
      </c>
    </row>
    <row r="78" ht="16" customHeight="1">
      <c r="A78" s="17" t="n">
        <v>74</v>
      </c>
      <c r="B78" s="165" t="inlineStr"/>
      <c r="C78" s="166" t="inlineStr">
        <is>
          <t>XL6</t>
        </is>
      </c>
      <c r="D78" s="17" t="n">
        <v>3</v>
      </c>
      <c r="E78" s="33" t="n">
        <v>21</v>
      </c>
      <c r="F78" s="19">
        <f>IFERROR(21/3,0)</f>
        <v/>
      </c>
    </row>
    <row r="79" ht="16" customHeight="1">
      <c r="A79" s="121" t="n">
        <v>75</v>
      </c>
      <c r="B79" s="179" t="inlineStr">
        <is>
          <t>Mitsubishi</t>
        </is>
      </c>
      <c r="C79" s="180" t="inlineStr">
        <is>
          <t>Cedia</t>
        </is>
      </c>
      <c r="D79" s="121" t="n">
        <v>1</v>
      </c>
      <c r="E79" s="119" t="n">
        <v>1</v>
      </c>
      <c r="F79" s="181">
        <f>IFERROR(1/1,0)</f>
        <v/>
      </c>
    </row>
    <row r="80" ht="16" customHeight="1">
      <c r="A80" s="121" t="n">
        <v>76</v>
      </c>
      <c r="B80" s="179" t="inlineStr"/>
      <c r="C80" s="180" t="inlineStr">
        <is>
          <t>Lancer</t>
        </is>
      </c>
      <c r="D80" s="121" t="n">
        <v>1</v>
      </c>
      <c r="E80" s="119" t="n">
        <v>1</v>
      </c>
      <c r="F80" s="181">
        <f>IFERROR(1/1,0)</f>
        <v/>
      </c>
    </row>
    <row r="81" ht="16" customHeight="1">
      <c r="A81" s="121" t="n">
        <v>77</v>
      </c>
      <c r="B81" s="179" t="inlineStr"/>
      <c r="C81" s="180" t="inlineStr">
        <is>
          <t>Outlander (Older India)</t>
        </is>
      </c>
      <c r="D81" s="121" t="n">
        <v>1</v>
      </c>
      <c r="E81" s="119" t="n">
        <v>7</v>
      </c>
      <c r="F81" s="181">
        <f>IFERROR(7/1,0)</f>
        <v/>
      </c>
    </row>
    <row r="82" ht="16" customHeight="1">
      <c r="A82" s="121" t="n">
        <v>78</v>
      </c>
      <c r="B82" s="179" t="inlineStr"/>
      <c r="C82" s="180" t="inlineStr">
        <is>
          <t>Pajero Sport</t>
        </is>
      </c>
      <c r="D82" s="121" t="n">
        <v>1</v>
      </c>
      <c r="E82" s="119" t="n">
        <v>4</v>
      </c>
      <c r="F82" s="181">
        <f>IFERROR(4/1,0)</f>
        <v/>
      </c>
    </row>
    <row r="83" ht="16" customHeight="1">
      <c r="A83" s="17" t="n">
        <v>79</v>
      </c>
      <c r="B83" s="165" t="inlineStr">
        <is>
          <t>Nissan</t>
        </is>
      </c>
      <c r="C83" s="166" t="inlineStr">
        <is>
          <t>Kicks</t>
        </is>
      </c>
      <c r="D83" s="17" t="n">
        <v>8</v>
      </c>
      <c r="E83" s="33" t="n">
        <v>48</v>
      </c>
      <c r="F83" s="19">
        <f>IFERROR(48/8,0)</f>
        <v/>
      </c>
    </row>
    <row r="84" ht="16" customHeight="1">
      <c r="A84" s="17" t="n">
        <v>80</v>
      </c>
      <c r="B84" s="165" t="inlineStr"/>
      <c r="C84" s="166" t="inlineStr">
        <is>
          <t>Magnite</t>
        </is>
      </c>
      <c r="D84" s="17" t="n">
        <v>7</v>
      </c>
      <c r="E84" s="33" t="n">
        <v>27</v>
      </c>
      <c r="F84" s="19">
        <f>IFERROR(27/7,0)</f>
        <v/>
      </c>
    </row>
    <row r="85" ht="16" customHeight="1">
      <c r="A85" s="17" t="n">
        <v>81</v>
      </c>
      <c r="B85" s="165" t="inlineStr"/>
      <c r="C85" s="166" t="inlineStr">
        <is>
          <t>Terrano</t>
        </is>
      </c>
      <c r="D85" s="17" t="n">
        <v>5</v>
      </c>
      <c r="E85" s="33" t="n">
        <v>29</v>
      </c>
      <c r="F85" s="19">
        <f>IFERROR(29/5,0)</f>
        <v/>
      </c>
    </row>
    <row r="86" ht="16" customHeight="1">
      <c r="A86" s="17" t="n">
        <v>82</v>
      </c>
      <c r="B86" s="165" t="inlineStr"/>
      <c r="C86" s="166" t="inlineStr">
        <is>
          <t>X-Trail</t>
        </is>
      </c>
      <c r="D86" s="17" t="n">
        <v>1</v>
      </c>
      <c r="E86" s="33" t="n">
        <v>3</v>
      </c>
      <c r="F86" s="19">
        <f>IFERROR(3/1,0)</f>
        <v/>
      </c>
    </row>
    <row r="87" ht="16" customHeight="1">
      <c r="A87" s="136" t="n">
        <v>83</v>
      </c>
      <c r="B87" s="182" t="inlineStr">
        <is>
          <t>Renault</t>
        </is>
      </c>
      <c r="C87" s="183" t="inlineStr">
        <is>
          <t>Duster</t>
        </is>
      </c>
      <c r="D87" s="136" t="n">
        <v>6</v>
      </c>
      <c r="E87" s="134" t="n">
        <v>27</v>
      </c>
      <c r="F87" s="184">
        <f>IFERROR(27/6,0)</f>
        <v/>
      </c>
    </row>
    <row r="88" ht="16" customHeight="1">
      <c r="A88" s="136" t="n">
        <v>84</v>
      </c>
      <c r="B88" s="182" t="inlineStr"/>
      <c r="C88" s="183" t="inlineStr">
        <is>
          <t>Kiger</t>
        </is>
      </c>
      <c r="D88" s="136" t="n">
        <v>4</v>
      </c>
      <c r="E88" s="134" t="n">
        <v>17</v>
      </c>
      <c r="F88" s="184">
        <f>IFERROR(17/4,0)</f>
        <v/>
      </c>
    </row>
    <row r="89" ht="16" customHeight="1">
      <c r="A89" s="136" t="n">
        <v>85</v>
      </c>
      <c r="B89" s="182" t="inlineStr"/>
      <c r="C89" s="183" t="inlineStr">
        <is>
          <t>Kwid</t>
        </is>
      </c>
      <c r="D89" s="136" t="n">
        <v>4</v>
      </c>
      <c r="E89" s="134" t="n">
        <v>14</v>
      </c>
      <c r="F89" s="184">
        <f>IFERROR(14/4,0)</f>
        <v/>
      </c>
    </row>
    <row r="90" ht="16" customHeight="1">
      <c r="A90" s="136" t="n">
        <v>86</v>
      </c>
      <c r="B90" s="182" t="inlineStr"/>
      <c r="C90" s="183" t="inlineStr">
        <is>
          <t>Lodgy</t>
        </is>
      </c>
      <c r="D90" s="136" t="n">
        <v>5</v>
      </c>
      <c r="E90" s="134" t="n">
        <v>19</v>
      </c>
      <c r="F90" s="184">
        <f>IFERROR(19/5,0)</f>
        <v/>
      </c>
    </row>
    <row r="91" ht="16" customHeight="1">
      <c r="A91" s="136" t="n">
        <v>87</v>
      </c>
      <c r="B91" s="182" t="inlineStr"/>
      <c r="C91" s="183" t="inlineStr">
        <is>
          <t>Triber</t>
        </is>
      </c>
      <c r="D91" s="136" t="n">
        <v>4</v>
      </c>
      <c r="E91" s="134" t="n">
        <v>20</v>
      </c>
      <c r="F91" s="184">
        <f>IFERROR(20/4,0)</f>
        <v/>
      </c>
    </row>
    <row r="92" ht="16" customHeight="1">
      <c r="A92" s="17" t="n">
        <v>88</v>
      </c>
      <c r="B92" s="165" t="inlineStr">
        <is>
          <t>Skoda</t>
        </is>
      </c>
      <c r="C92" s="166" t="inlineStr">
        <is>
          <t>Kodiaq</t>
        </is>
      </c>
      <c r="D92" s="17" t="n">
        <v>3</v>
      </c>
      <c r="E92" s="33" t="n">
        <v>21</v>
      </c>
      <c r="F92" s="19">
        <f>IFERROR(21/3,0)</f>
        <v/>
      </c>
    </row>
    <row r="93" ht="16" customHeight="1">
      <c r="A93" s="17" t="n">
        <v>89</v>
      </c>
      <c r="B93" s="165" t="inlineStr"/>
      <c r="C93" s="166" t="inlineStr">
        <is>
          <t>Kushaq</t>
        </is>
      </c>
      <c r="D93" s="17" t="n">
        <v>5</v>
      </c>
      <c r="E93" s="33" t="n">
        <v>35</v>
      </c>
      <c r="F93" s="19">
        <f>IFERROR(35/5,0)</f>
        <v/>
      </c>
    </row>
    <row r="94" ht="16" customHeight="1">
      <c r="A94" s="17" t="n">
        <v>90</v>
      </c>
      <c r="B94" s="165" t="inlineStr"/>
      <c r="C94" s="166" t="inlineStr">
        <is>
          <t>Kylaq</t>
        </is>
      </c>
      <c r="D94" s="17" t="n">
        <v>7</v>
      </c>
      <c r="E94" s="33" t="n">
        <v>36</v>
      </c>
      <c r="F94" s="19">
        <f>IFERROR(36/7,0)</f>
        <v/>
      </c>
    </row>
    <row r="95" ht="16" customHeight="1">
      <c r="A95" s="17" t="n">
        <v>91</v>
      </c>
      <c r="B95" s="165" t="inlineStr"/>
      <c r="C95" s="166" t="inlineStr">
        <is>
          <t>Octavia</t>
        </is>
      </c>
      <c r="D95" s="17" t="n">
        <v>1</v>
      </c>
      <c r="E95" s="33" t="n">
        <v>5</v>
      </c>
      <c r="F95" s="19">
        <f>IFERROR(5/1,0)</f>
        <v/>
      </c>
    </row>
    <row r="96" ht="16" customHeight="1">
      <c r="A96" s="17" t="n">
        <v>92</v>
      </c>
      <c r="B96" s="165" t="inlineStr"/>
      <c r="C96" s="166" t="inlineStr">
        <is>
          <t>Rapid</t>
        </is>
      </c>
      <c r="D96" s="17" t="n">
        <v>5</v>
      </c>
      <c r="E96" s="33" t="n">
        <v>17</v>
      </c>
      <c r="F96" s="19">
        <f>IFERROR(17/5,0)</f>
        <v/>
      </c>
    </row>
    <row r="97" ht="16" customHeight="1">
      <c r="A97" s="17" t="n">
        <v>93</v>
      </c>
      <c r="B97" s="165" t="inlineStr"/>
      <c r="C97" s="166" t="inlineStr">
        <is>
          <t>Slavia</t>
        </is>
      </c>
      <c r="D97" s="17" t="n">
        <v>5</v>
      </c>
      <c r="E97" s="33" t="n">
        <v>13</v>
      </c>
      <c r="F97" s="19">
        <f>IFERROR(13/5,0)</f>
        <v/>
      </c>
    </row>
    <row r="98" ht="16" customHeight="1">
      <c r="A98" s="48" t="n">
        <v>94</v>
      </c>
      <c r="B98" s="185" t="inlineStr">
        <is>
          <t>Tata</t>
        </is>
      </c>
      <c r="C98" s="186" t="inlineStr">
        <is>
          <t>Altroz</t>
        </is>
      </c>
      <c r="D98" s="48" t="n">
        <v>7</v>
      </c>
      <c r="E98" s="46" t="n">
        <v>0</v>
      </c>
      <c r="F98" s="187">
        <f>IFERROR(0/7,0)</f>
        <v/>
      </c>
    </row>
    <row r="99" ht="16" customHeight="1">
      <c r="A99" s="48" t="n">
        <v>95</v>
      </c>
      <c r="B99" s="185" t="inlineStr"/>
      <c r="C99" s="186" t="inlineStr">
        <is>
          <t>Curvv</t>
        </is>
      </c>
      <c r="D99" s="48" t="n">
        <v>8</v>
      </c>
      <c r="E99" s="46" t="n">
        <v>32</v>
      </c>
      <c r="F99" s="187">
        <f>IFERROR(32/8,0)</f>
        <v/>
      </c>
    </row>
    <row r="100" ht="16" customHeight="1">
      <c r="A100" s="48" t="n">
        <v>96</v>
      </c>
      <c r="B100" s="185" t="inlineStr"/>
      <c r="C100" s="186" t="inlineStr">
        <is>
          <t>Harrier</t>
        </is>
      </c>
      <c r="D100" s="48" t="n">
        <v>15</v>
      </c>
      <c r="E100" s="46" t="n">
        <v>37</v>
      </c>
      <c r="F100" s="187">
        <f>IFERROR(37/15,0)</f>
        <v/>
      </c>
    </row>
    <row r="101" ht="16" customHeight="1">
      <c r="A101" s="48" t="n">
        <v>97</v>
      </c>
      <c r="B101" s="185" t="inlineStr"/>
      <c r="C101" s="186" t="inlineStr">
        <is>
          <t>Nexon</t>
        </is>
      </c>
      <c r="D101" s="48" t="n">
        <v>10</v>
      </c>
      <c r="E101" s="46" t="n">
        <v>50</v>
      </c>
      <c r="F101" s="187">
        <f>IFERROR(50/10,0)</f>
        <v/>
      </c>
    </row>
    <row r="102" ht="16" customHeight="1">
      <c r="A102" s="48" t="n">
        <v>98</v>
      </c>
      <c r="B102" s="185" t="inlineStr"/>
      <c r="C102" s="186" t="inlineStr">
        <is>
          <t>Punch</t>
        </is>
      </c>
      <c r="D102" s="48" t="n">
        <v>9</v>
      </c>
      <c r="E102" s="46" t="n">
        <v>52</v>
      </c>
      <c r="F102" s="187">
        <f>IFERROR(52/9,0)</f>
        <v/>
      </c>
    </row>
    <row r="103" ht="16" customHeight="1">
      <c r="A103" s="48" t="n">
        <v>99</v>
      </c>
      <c r="B103" s="185" t="inlineStr"/>
      <c r="C103" s="186" t="inlineStr">
        <is>
          <t>Safari</t>
        </is>
      </c>
      <c r="D103" s="48" t="n">
        <v>13</v>
      </c>
      <c r="E103" s="46" t="n">
        <v>34</v>
      </c>
      <c r="F103" s="187">
        <f>IFERROR(34/13,0)</f>
        <v/>
      </c>
    </row>
    <row r="104" ht="16" customHeight="1">
      <c r="A104" s="48" t="n">
        <v>100</v>
      </c>
      <c r="B104" s="185" t="inlineStr"/>
      <c r="C104" s="186" t="inlineStr">
        <is>
          <t>Tiago</t>
        </is>
      </c>
      <c r="D104" s="48" t="n">
        <v>5</v>
      </c>
      <c r="E104" s="46" t="n">
        <v>15</v>
      </c>
      <c r="F104" s="187">
        <f>IFERROR(15/5,0)</f>
        <v/>
      </c>
    </row>
    <row r="105" ht="16" customHeight="1">
      <c r="A105" s="48" t="n">
        <v>101</v>
      </c>
      <c r="B105" s="185" t="inlineStr"/>
      <c r="C105" s="186" t="inlineStr">
        <is>
          <t>Tigor</t>
        </is>
      </c>
      <c r="D105" s="48" t="n">
        <v>4</v>
      </c>
      <c r="E105" s="46" t="n">
        <v>16</v>
      </c>
      <c r="F105" s="187">
        <f>IFERROR(16/4,0)</f>
        <v/>
      </c>
    </row>
    <row r="106" ht="16" customHeight="1">
      <c r="A106" s="17" t="n">
        <v>102</v>
      </c>
      <c r="B106" s="165" t="inlineStr">
        <is>
          <t>Toyota</t>
        </is>
      </c>
      <c r="C106" s="166" t="inlineStr">
        <is>
          <t>Camry</t>
        </is>
      </c>
      <c r="D106" s="17" t="n">
        <v>1</v>
      </c>
      <c r="E106" s="33" t="n">
        <v>11</v>
      </c>
      <c r="F106" s="19">
        <f>IFERROR(11/1,0)</f>
        <v/>
      </c>
    </row>
    <row r="107" ht="16" customHeight="1">
      <c r="A107" s="17" t="n">
        <v>103</v>
      </c>
      <c r="B107" s="165" t="inlineStr"/>
      <c r="C107" s="166" t="inlineStr">
        <is>
          <t>Fortuner</t>
        </is>
      </c>
      <c r="D107" s="17" t="n">
        <v>1</v>
      </c>
      <c r="E107" s="33" t="n">
        <v>6</v>
      </c>
      <c r="F107" s="19">
        <f>IFERROR(6/1,0)</f>
        <v/>
      </c>
    </row>
    <row r="108" ht="16" customHeight="1">
      <c r="A108" s="17" t="n">
        <v>104</v>
      </c>
      <c r="B108" s="165" t="inlineStr"/>
      <c r="C108" s="166" t="inlineStr">
        <is>
          <t>Glanza</t>
        </is>
      </c>
      <c r="D108" s="17" t="n">
        <v>1</v>
      </c>
      <c r="E108" s="33" t="n">
        <v>5</v>
      </c>
      <c r="F108" s="19">
        <f>IFERROR(5/1,0)</f>
        <v/>
      </c>
    </row>
    <row r="109" ht="16" customHeight="1">
      <c r="A109" s="17" t="n">
        <v>105</v>
      </c>
      <c r="B109" s="165" t="inlineStr"/>
      <c r="C109" s="166" t="inlineStr">
        <is>
          <t>Hilux</t>
        </is>
      </c>
      <c r="D109" s="17" t="n">
        <v>1</v>
      </c>
      <c r="E109" s="33" t="n">
        <v>5</v>
      </c>
      <c r="F109" s="19">
        <f>IFERROR(5/1,0)</f>
        <v/>
      </c>
    </row>
    <row r="110" ht="16" customHeight="1">
      <c r="A110" s="17" t="n">
        <v>106</v>
      </c>
      <c r="B110" s="165" t="inlineStr"/>
      <c r="C110" s="166" t="inlineStr">
        <is>
          <t>Innova Crysta</t>
        </is>
      </c>
      <c r="D110" s="17" t="n">
        <v>1</v>
      </c>
      <c r="E110" s="33" t="n">
        <v>5</v>
      </c>
      <c r="F110" s="19">
        <f>IFERROR(5/1,0)</f>
        <v/>
      </c>
    </row>
    <row r="111" ht="16" customHeight="1">
      <c r="A111" s="17" t="n">
        <v>107</v>
      </c>
      <c r="B111" s="165" t="inlineStr"/>
      <c r="C111" s="166" t="inlineStr">
        <is>
          <t>Innova Hycross</t>
        </is>
      </c>
      <c r="D111" s="17" t="n">
        <v>1</v>
      </c>
      <c r="E111" s="33" t="n">
        <v>6</v>
      </c>
      <c r="F111" s="19">
        <f>IFERROR(6/1,0)</f>
        <v/>
      </c>
    </row>
    <row r="112" ht="16" customHeight="1">
      <c r="A112" s="17" t="n">
        <v>108</v>
      </c>
      <c r="B112" s="165" t="inlineStr"/>
      <c r="C112" s="166" t="inlineStr">
        <is>
          <t>Rumion</t>
        </is>
      </c>
      <c r="D112" s="17" t="n">
        <v>1</v>
      </c>
      <c r="E112" s="33" t="n">
        <v>5</v>
      </c>
      <c r="F112" s="19">
        <f>IFERROR(5/1,0)</f>
        <v/>
      </c>
    </row>
    <row r="113" ht="16" customHeight="1">
      <c r="A113" s="17" t="n">
        <v>109</v>
      </c>
      <c r="B113" s="165" t="inlineStr"/>
      <c r="C113" s="166" t="inlineStr">
        <is>
          <t>Urban Cruiser Hyryder</t>
        </is>
      </c>
      <c r="D113" s="17" t="n">
        <v>1</v>
      </c>
      <c r="E113" s="33" t="n">
        <v>11</v>
      </c>
      <c r="F113" s="19">
        <f>IFERROR(11/1,0)</f>
        <v/>
      </c>
    </row>
    <row r="114" ht="16" customHeight="1">
      <c r="A114" s="17" t="n">
        <v>110</v>
      </c>
      <c r="B114" s="165" t="inlineStr"/>
      <c r="C114" s="166" t="inlineStr">
        <is>
          <t>Urban Cruiser Taisor</t>
        </is>
      </c>
      <c r="D114" s="17" t="n">
        <v>1</v>
      </c>
      <c r="E114" s="33" t="n">
        <v>9</v>
      </c>
      <c r="F114" s="19">
        <f>IFERROR(9/1,0)</f>
        <v/>
      </c>
    </row>
    <row r="115" ht="16" customHeight="1">
      <c r="A115" s="17" t="n">
        <v>111</v>
      </c>
      <c r="B115" s="165" t="inlineStr"/>
      <c r="C115" s="166" t="inlineStr">
        <is>
          <t>Vellfire</t>
        </is>
      </c>
      <c r="D115" s="17" t="n">
        <v>1</v>
      </c>
      <c r="E115" s="33" t="n">
        <v>3</v>
      </c>
      <c r="F115" s="19">
        <f>IFERROR(3/1,0)</f>
        <v/>
      </c>
    </row>
    <row r="116" ht="16" customHeight="1">
      <c r="A116" s="159" t="n">
        <v>112</v>
      </c>
      <c r="B116" s="188" t="inlineStr">
        <is>
          <t>Volkswagen</t>
        </is>
      </c>
      <c r="C116" s="189" t="inlineStr">
        <is>
          <t>Golf GTI</t>
        </is>
      </c>
      <c r="D116" s="159" t="n">
        <v>1</v>
      </c>
      <c r="E116" s="157" t="n">
        <v>4</v>
      </c>
      <c r="F116" s="190">
        <f>IFERROR(4/1,0)</f>
        <v/>
      </c>
    </row>
    <row r="117" ht="16" customHeight="1">
      <c r="A117" s="159" t="n">
        <v>113</v>
      </c>
      <c r="B117" s="188" t="inlineStr"/>
      <c r="C117" s="189" t="inlineStr">
        <is>
          <t>Polo</t>
        </is>
      </c>
      <c r="D117" s="159" t="n">
        <v>13</v>
      </c>
      <c r="E117" s="157" t="n">
        <v>49</v>
      </c>
      <c r="F117" s="190">
        <f>IFERROR(49/13,0)</f>
        <v/>
      </c>
    </row>
    <row r="118" ht="16" customHeight="1">
      <c r="A118" s="159" t="n">
        <v>114</v>
      </c>
      <c r="B118" s="188" t="inlineStr"/>
      <c r="C118" s="189" t="inlineStr">
        <is>
          <t>Taigun</t>
        </is>
      </c>
      <c r="D118" s="159" t="n">
        <v>7</v>
      </c>
      <c r="E118" s="157" t="n">
        <v>54</v>
      </c>
      <c r="F118" s="190">
        <f>IFERROR(54/7,0)</f>
        <v/>
      </c>
    </row>
    <row r="119" ht="16" customHeight="1">
      <c r="A119" s="159" t="n">
        <v>115</v>
      </c>
      <c r="B119" s="188" t="inlineStr"/>
      <c r="C119" s="189" t="inlineStr">
        <is>
          <t>Taigun R-Line</t>
        </is>
      </c>
      <c r="D119" s="159" t="n">
        <v>1</v>
      </c>
      <c r="E119" s="157" t="n">
        <v>5</v>
      </c>
      <c r="F119" s="190">
        <f>IFERROR(5/1,0)</f>
        <v/>
      </c>
    </row>
    <row r="120" ht="16" customHeight="1">
      <c r="A120" s="159" t="n">
        <v>116</v>
      </c>
      <c r="B120" s="188" t="inlineStr"/>
      <c r="C120" s="189" t="inlineStr">
        <is>
          <t>Vento</t>
        </is>
      </c>
      <c r="D120" s="159" t="n">
        <v>9</v>
      </c>
      <c r="E120" s="157" t="n">
        <v>42</v>
      </c>
      <c r="F120" s="190">
        <f>IFERROR(42/9,0)</f>
        <v/>
      </c>
    </row>
    <row r="121" ht="16" customHeight="1">
      <c r="A121" s="159" t="n">
        <v>117</v>
      </c>
      <c r="B121" s="188" t="inlineStr"/>
      <c r="C121" s="189" t="inlineStr">
        <is>
          <t>Virtus</t>
        </is>
      </c>
      <c r="D121" s="159" t="n">
        <v>7</v>
      </c>
      <c r="E121" s="157" t="n">
        <v>46</v>
      </c>
      <c r="F121" s="190">
        <f>IFERROR(46/7,0)</f>
        <v/>
      </c>
    </row>
  </sheetData>
  <mergeCells count="1">
    <mergeCell ref="A1:F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5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32" customWidth="1" min="4" max="4"/>
    <col width="36" customWidth="1" min="5" max="5"/>
  </cols>
  <sheetData>
    <row r="1" ht="22" customHeight="1">
      <c r="A1" s="161" t="inlineStr">
        <is>
          <t>COMPLETE COLOR CATALOG — Every Color Across All Brands &amp; Models</t>
        </is>
      </c>
    </row>
    <row r="2" ht="22" customHeight="1"/>
    <row r="3" ht="8" customHeight="1"/>
    <row r="4" ht="20" customHeight="1">
      <c r="A4" s="28" t="inlineStr">
        <is>
          <t>#</t>
        </is>
      </c>
      <c r="B4" s="28" t="inlineStr">
        <is>
          <t>Brand</t>
        </is>
      </c>
      <c r="C4" s="28" t="inlineStr">
        <is>
          <t>Model</t>
        </is>
      </c>
      <c r="D4" s="28" t="inlineStr">
        <is>
          <t>Variant</t>
        </is>
      </c>
      <c r="E4" s="28" t="inlineStr">
        <is>
          <t>Color Name</t>
        </is>
      </c>
    </row>
    <row r="5" ht="15" customHeight="1">
      <c r="A5" s="191" t="n">
        <v>1</v>
      </c>
      <c r="B5" s="192" t="inlineStr">
        <is>
          <t>Chevrolet</t>
        </is>
      </c>
      <c r="C5" s="193" t="inlineStr">
        <is>
          <t>Captiva</t>
        </is>
      </c>
      <c r="D5" s="194" t="inlineStr">
        <is>
          <t>LT</t>
        </is>
      </c>
      <c r="E5" s="195" t="inlineStr">
        <is>
          <t>captiva</t>
        </is>
      </c>
    </row>
    <row r="6" ht="15" customHeight="1">
      <c r="A6" s="191" t="n">
        <v>2</v>
      </c>
      <c r="B6" s="192" t="inlineStr">
        <is>
          <t>Chevrolet</t>
        </is>
      </c>
      <c r="C6" s="193" t="inlineStr">
        <is>
          <t>Captiva</t>
        </is>
      </c>
      <c r="D6" s="194" t="inlineStr">
        <is>
          <t>LTZ AWD 2.2</t>
        </is>
      </c>
      <c r="E6" s="195" t="inlineStr">
        <is>
          <t>captiva</t>
        </is>
      </c>
    </row>
    <row r="7" ht="15" customHeight="1">
      <c r="A7" s="191" t="n">
        <v>3</v>
      </c>
      <c r="B7" s="192" t="inlineStr">
        <is>
          <t>Chevrolet</t>
        </is>
      </c>
      <c r="C7" s="193" t="inlineStr">
        <is>
          <t>Cruze</t>
        </is>
      </c>
      <c r="D7" s="194" t="inlineStr">
        <is>
          <t>Standard</t>
        </is>
      </c>
      <c r="E7" s="195" t="inlineStr">
        <is>
          <t>cruze</t>
        </is>
      </c>
    </row>
    <row r="8" ht="15" customHeight="1">
      <c r="A8" s="191" t="n">
        <v>4</v>
      </c>
      <c r="B8" s="192" t="inlineStr">
        <is>
          <t>Chevrolet</t>
        </is>
      </c>
      <c r="C8" s="193" t="inlineStr">
        <is>
          <t>Optra</t>
        </is>
      </c>
      <c r="D8" s="194" t="inlineStr">
        <is>
          <t>Standard</t>
        </is>
      </c>
      <c r="E8" s="195" t="inlineStr">
        <is>
          <t>optra</t>
        </is>
      </c>
    </row>
    <row r="9" ht="15" customHeight="1">
      <c r="A9" s="191" t="n">
        <v>5</v>
      </c>
      <c r="B9" s="192" t="inlineStr">
        <is>
          <t>Chevrolet</t>
        </is>
      </c>
      <c r="C9" s="193" t="inlineStr">
        <is>
          <t>Optra SRV</t>
        </is>
      </c>
      <c r="D9" s="194" t="inlineStr">
        <is>
          <t>Standard</t>
        </is>
      </c>
      <c r="E9" s="195" t="inlineStr">
        <is>
          <t>optra-srv-2006-2010</t>
        </is>
      </c>
    </row>
    <row r="10" ht="15" customHeight="1">
      <c r="A10" s="191" t="n">
        <v>6</v>
      </c>
      <c r="B10" s="192" t="inlineStr">
        <is>
          <t>Chevrolet</t>
        </is>
      </c>
      <c r="C10" s="193" t="inlineStr">
        <is>
          <t>Sail</t>
        </is>
      </c>
      <c r="D10" s="194" t="inlineStr">
        <is>
          <t>Standard</t>
        </is>
      </c>
      <c r="E10" s="195" t="inlineStr">
        <is>
          <t>sail-2012-2014</t>
        </is>
      </c>
    </row>
    <row r="11" ht="15" customHeight="1">
      <c r="A11" s="191" t="n">
        <v>7</v>
      </c>
      <c r="B11" s="192" t="inlineStr">
        <is>
          <t>Chevrolet</t>
        </is>
      </c>
      <c r="C11" s="193" t="inlineStr">
        <is>
          <t>Tavera</t>
        </is>
      </c>
      <c r="D11" s="194" t="inlineStr">
        <is>
          <t>Standard</t>
        </is>
      </c>
      <c r="E11" s="195" t="inlineStr">
        <is>
          <t>Tavera</t>
        </is>
      </c>
    </row>
    <row r="12" ht="15" customHeight="1">
      <c r="A12" s="191" t="n">
        <v>8</v>
      </c>
      <c r="B12" s="192" t="inlineStr">
        <is>
          <t>Chevrolet</t>
        </is>
      </c>
      <c r="C12" s="193" t="inlineStr">
        <is>
          <t>beat</t>
        </is>
      </c>
      <c r="D12" s="194" t="inlineStr">
        <is>
          <t>Standard</t>
        </is>
      </c>
      <c r="E12" s="195" t="inlineStr">
        <is>
          <t>chevrolet-beat-caviar-black</t>
        </is>
      </c>
    </row>
    <row r="13" ht="15" customHeight="1">
      <c r="A13" s="191" t="n">
        <v>9</v>
      </c>
      <c r="B13" s="192" t="inlineStr">
        <is>
          <t>Chevrolet</t>
        </is>
      </c>
      <c r="C13" s="193" t="inlineStr">
        <is>
          <t>beat</t>
        </is>
      </c>
      <c r="D13" s="194" t="inlineStr">
        <is>
          <t>Standard</t>
        </is>
      </c>
      <c r="E13" s="195" t="inlineStr">
        <is>
          <t>chevrolet-beat-cocktail-green</t>
        </is>
      </c>
    </row>
    <row r="14" ht="15" customHeight="1">
      <c r="A14" s="191" t="n">
        <v>10</v>
      </c>
      <c r="B14" s="192" t="inlineStr">
        <is>
          <t>Chevrolet</t>
        </is>
      </c>
      <c r="C14" s="193" t="inlineStr">
        <is>
          <t>beat</t>
        </is>
      </c>
      <c r="D14" s="194" t="inlineStr">
        <is>
          <t>Standard</t>
        </is>
      </c>
      <c r="E14" s="195" t="inlineStr">
        <is>
          <t>chevrolet-beat-pull-me-over-red</t>
        </is>
      </c>
    </row>
    <row r="15" ht="15" customHeight="1">
      <c r="A15" s="191" t="n">
        <v>11</v>
      </c>
      <c r="B15" s="192" t="inlineStr">
        <is>
          <t>Chevrolet</t>
        </is>
      </c>
      <c r="C15" s="193" t="inlineStr">
        <is>
          <t>beat</t>
        </is>
      </c>
      <c r="D15" s="194" t="inlineStr">
        <is>
          <t>Standard</t>
        </is>
      </c>
      <c r="E15" s="195" t="inlineStr">
        <is>
          <t>chevrolet-beat-sandrift-grey</t>
        </is>
      </c>
    </row>
    <row r="16" ht="15" customHeight="1">
      <c r="A16" s="191" t="n">
        <v>12</v>
      </c>
      <c r="B16" s="192" t="inlineStr">
        <is>
          <t>Chevrolet</t>
        </is>
      </c>
      <c r="C16" s="193" t="inlineStr">
        <is>
          <t>beat</t>
        </is>
      </c>
      <c r="D16" s="194" t="inlineStr">
        <is>
          <t>Standard</t>
        </is>
      </c>
      <c r="E16" s="195" t="inlineStr">
        <is>
          <t>chevrolet-beat-satin-steel-grey</t>
        </is>
      </c>
    </row>
    <row r="17" ht="15" customHeight="1">
      <c r="A17" s="191" t="n">
        <v>13</v>
      </c>
      <c r="B17" s="192" t="inlineStr">
        <is>
          <t>Chevrolet</t>
        </is>
      </c>
      <c r="C17" s="193" t="inlineStr">
        <is>
          <t>beat</t>
        </is>
      </c>
      <c r="D17" s="194" t="inlineStr">
        <is>
          <t>Standard</t>
        </is>
      </c>
      <c r="E17" s="195" t="inlineStr">
        <is>
          <t>chevrolet-beat-summit-white</t>
        </is>
      </c>
    </row>
    <row r="18" ht="15" customHeight="1">
      <c r="A18" s="191" t="n">
        <v>14</v>
      </c>
      <c r="B18" s="192" t="inlineStr">
        <is>
          <t>Chevrolet</t>
        </is>
      </c>
      <c r="C18" s="193" t="inlineStr">
        <is>
          <t>beat</t>
        </is>
      </c>
      <c r="D18" s="194" t="inlineStr">
        <is>
          <t>Standard</t>
        </is>
      </c>
      <c r="E18" s="195" t="inlineStr">
        <is>
          <t>chevrolet-beat-switchblade-silver</t>
        </is>
      </c>
    </row>
    <row r="19" ht="15" customHeight="1">
      <c r="A19" s="196" t="n">
        <v>15</v>
      </c>
      <c r="B19" s="197" t="inlineStr">
        <is>
          <t>Ford</t>
        </is>
      </c>
      <c r="C19" s="198" t="inlineStr">
        <is>
          <t>EcoSport</t>
        </is>
      </c>
      <c r="D19" s="199" t="inlineStr">
        <is>
          <t>Ambiente 1.5L Ti-VCT</t>
        </is>
      </c>
      <c r="E19" s="200" t="inlineStr">
        <is>
          <t>Absolute Black</t>
        </is>
      </c>
    </row>
    <row r="20" ht="15" customHeight="1">
      <c r="A20" s="196" t="n">
        <v>16</v>
      </c>
      <c r="B20" s="197" t="inlineStr">
        <is>
          <t>Ford</t>
        </is>
      </c>
      <c r="C20" s="198" t="inlineStr">
        <is>
          <t>EcoSport</t>
        </is>
      </c>
      <c r="D20" s="199" t="inlineStr">
        <is>
          <t>Ambiente 1.5L Ti-VCT</t>
        </is>
      </c>
      <c r="E20" s="200" t="inlineStr">
        <is>
          <t>Canyon Ridge</t>
        </is>
      </c>
    </row>
    <row r="21" ht="15" customHeight="1">
      <c r="A21" s="196" t="n">
        <v>17</v>
      </c>
      <c r="B21" s="197" t="inlineStr">
        <is>
          <t>Ford</t>
        </is>
      </c>
      <c r="C21" s="198" t="inlineStr">
        <is>
          <t>EcoSport</t>
        </is>
      </c>
      <c r="D21" s="199" t="inlineStr">
        <is>
          <t>Ambiente 1.5L Ti-VCT</t>
        </is>
      </c>
      <c r="E21" s="200" t="inlineStr">
        <is>
          <t>Diamond White</t>
        </is>
      </c>
    </row>
    <row r="22" ht="15" customHeight="1">
      <c r="A22" s="196" t="n">
        <v>18</v>
      </c>
      <c r="B22" s="197" t="inlineStr">
        <is>
          <t>Ford</t>
        </is>
      </c>
      <c r="C22" s="198" t="inlineStr">
        <is>
          <t>EcoSport</t>
        </is>
      </c>
      <c r="D22" s="199" t="inlineStr">
        <is>
          <t>Ambiente 1.5L Ti-VCT</t>
        </is>
      </c>
      <c r="E22" s="200" t="inlineStr">
        <is>
          <t>Lightning Blue</t>
        </is>
      </c>
    </row>
    <row r="23" ht="15" customHeight="1">
      <c r="A23" s="196" t="n">
        <v>19</v>
      </c>
      <c r="B23" s="197" t="inlineStr">
        <is>
          <t>Ford</t>
        </is>
      </c>
      <c r="C23" s="198" t="inlineStr">
        <is>
          <t>EcoSport</t>
        </is>
      </c>
      <c r="D23" s="199" t="inlineStr">
        <is>
          <t>Ambiente 1.5L Ti-VCT</t>
        </is>
      </c>
      <c r="E23" s="200" t="inlineStr">
        <is>
          <t>Moondust Silver</t>
        </is>
      </c>
    </row>
    <row r="24" ht="15" customHeight="1">
      <c r="A24" s="196" t="n">
        <v>20</v>
      </c>
      <c r="B24" s="197" t="inlineStr">
        <is>
          <t>Ford</t>
        </is>
      </c>
      <c r="C24" s="198" t="inlineStr">
        <is>
          <t>EcoSport</t>
        </is>
      </c>
      <c r="D24" s="199" t="inlineStr">
        <is>
          <t>Ambiente 1.5L Ti-VCT</t>
        </is>
      </c>
      <c r="E24" s="200" t="inlineStr">
        <is>
          <t>Race Red</t>
        </is>
      </c>
    </row>
    <row r="25" ht="15" customHeight="1">
      <c r="A25" s="196" t="n">
        <v>21</v>
      </c>
      <c r="B25" s="197" t="inlineStr">
        <is>
          <t>Ford</t>
        </is>
      </c>
      <c r="C25" s="198" t="inlineStr">
        <is>
          <t>EcoSport</t>
        </is>
      </c>
      <c r="D25" s="199" t="inlineStr">
        <is>
          <t>Ambiente 1.5L Ti-VCT</t>
        </is>
      </c>
      <c r="E25" s="200" t="inlineStr">
        <is>
          <t>Smoke Grey</t>
        </is>
      </c>
    </row>
    <row r="26" ht="15" customHeight="1">
      <c r="A26" s="196" t="n">
        <v>22</v>
      </c>
      <c r="B26" s="197" t="inlineStr">
        <is>
          <t>Ford</t>
        </is>
      </c>
      <c r="C26" s="198" t="inlineStr">
        <is>
          <t>EcoSport</t>
        </is>
      </c>
      <c r="D26" s="199" t="inlineStr">
        <is>
          <t>Thunder Edition Petrol</t>
        </is>
      </c>
      <c r="E26" s="200" t="inlineStr">
        <is>
          <t>Absolute Black</t>
        </is>
      </c>
    </row>
    <row r="27" ht="15" customHeight="1">
      <c r="A27" s="196" t="n">
        <v>23</v>
      </c>
      <c r="B27" s="197" t="inlineStr">
        <is>
          <t>Ford</t>
        </is>
      </c>
      <c r="C27" s="198" t="inlineStr">
        <is>
          <t>EcoSport</t>
        </is>
      </c>
      <c r="D27" s="199" t="inlineStr">
        <is>
          <t>Thunder Edition Petrol</t>
        </is>
      </c>
      <c r="E27" s="200" t="inlineStr">
        <is>
          <t>Canyon Ridge</t>
        </is>
      </c>
    </row>
    <row r="28" ht="15" customHeight="1">
      <c r="A28" s="196" t="n">
        <v>24</v>
      </c>
      <c r="B28" s="197" t="inlineStr">
        <is>
          <t>Ford</t>
        </is>
      </c>
      <c r="C28" s="198" t="inlineStr">
        <is>
          <t>EcoSport</t>
        </is>
      </c>
      <c r="D28" s="199" t="inlineStr">
        <is>
          <t>Thunder Edition Petrol</t>
        </is>
      </c>
      <c r="E28" s="200" t="inlineStr">
        <is>
          <t>Diamond White</t>
        </is>
      </c>
    </row>
    <row r="29" ht="15" customHeight="1">
      <c r="A29" s="196" t="n">
        <v>25</v>
      </c>
      <c r="B29" s="197" t="inlineStr">
        <is>
          <t>Ford</t>
        </is>
      </c>
      <c r="C29" s="198" t="inlineStr">
        <is>
          <t>EcoSport</t>
        </is>
      </c>
      <c r="D29" s="199" t="inlineStr">
        <is>
          <t>Thunder Edition Petrol</t>
        </is>
      </c>
      <c r="E29" s="200" t="inlineStr">
        <is>
          <t>Lightning Blue</t>
        </is>
      </c>
    </row>
    <row r="30" ht="15" customHeight="1">
      <c r="A30" s="196" t="n">
        <v>26</v>
      </c>
      <c r="B30" s="197" t="inlineStr">
        <is>
          <t>Ford</t>
        </is>
      </c>
      <c r="C30" s="198" t="inlineStr">
        <is>
          <t>EcoSport</t>
        </is>
      </c>
      <c r="D30" s="199" t="inlineStr">
        <is>
          <t>Thunder Edition Petrol</t>
        </is>
      </c>
      <c r="E30" s="200" t="inlineStr">
        <is>
          <t>Moondust Silver</t>
        </is>
      </c>
    </row>
    <row r="31" ht="15" customHeight="1">
      <c r="A31" s="196" t="n">
        <v>27</v>
      </c>
      <c r="B31" s="197" t="inlineStr">
        <is>
          <t>Ford</t>
        </is>
      </c>
      <c r="C31" s="198" t="inlineStr">
        <is>
          <t>EcoSport</t>
        </is>
      </c>
      <c r="D31" s="199" t="inlineStr">
        <is>
          <t>Thunder Edition Petrol</t>
        </is>
      </c>
      <c r="E31" s="200" t="inlineStr">
        <is>
          <t>Race Red</t>
        </is>
      </c>
    </row>
    <row r="32" ht="15" customHeight="1">
      <c r="A32" s="196" t="n">
        <v>28</v>
      </c>
      <c r="B32" s="197" t="inlineStr">
        <is>
          <t>Ford</t>
        </is>
      </c>
      <c r="C32" s="198" t="inlineStr">
        <is>
          <t>EcoSport</t>
        </is>
      </c>
      <c r="D32" s="199" t="inlineStr">
        <is>
          <t>Thunder Edition Petrol</t>
        </is>
      </c>
      <c r="E32" s="200" t="inlineStr">
        <is>
          <t>Smoke Grey</t>
        </is>
      </c>
    </row>
    <row r="33" ht="15" customHeight="1">
      <c r="A33" s="196" t="n">
        <v>29</v>
      </c>
      <c r="B33" s="197" t="inlineStr">
        <is>
          <t>Ford</t>
        </is>
      </c>
      <c r="C33" s="198" t="inlineStr">
        <is>
          <t>EcoSport</t>
        </is>
      </c>
      <c r="D33" s="199" t="inlineStr">
        <is>
          <t>Titanium 1.5L TDCi</t>
        </is>
      </c>
      <c r="E33" s="200" t="inlineStr">
        <is>
          <t>Absolute Black</t>
        </is>
      </c>
    </row>
    <row r="34" ht="15" customHeight="1">
      <c r="A34" s="196" t="n">
        <v>30</v>
      </c>
      <c r="B34" s="197" t="inlineStr">
        <is>
          <t>Ford</t>
        </is>
      </c>
      <c r="C34" s="198" t="inlineStr">
        <is>
          <t>EcoSport</t>
        </is>
      </c>
      <c r="D34" s="199" t="inlineStr">
        <is>
          <t>Titanium 1.5L TDCi</t>
        </is>
      </c>
      <c r="E34" s="200" t="inlineStr">
        <is>
          <t>Canyon Ridge</t>
        </is>
      </c>
    </row>
    <row r="35" ht="15" customHeight="1">
      <c r="A35" s="196" t="n">
        <v>31</v>
      </c>
      <c r="B35" s="197" t="inlineStr">
        <is>
          <t>Ford</t>
        </is>
      </c>
      <c r="C35" s="198" t="inlineStr">
        <is>
          <t>EcoSport</t>
        </is>
      </c>
      <c r="D35" s="199" t="inlineStr">
        <is>
          <t>Titanium 1.5L TDCi</t>
        </is>
      </c>
      <c r="E35" s="200" t="inlineStr">
        <is>
          <t>Diamond White</t>
        </is>
      </c>
    </row>
    <row r="36" ht="15" customHeight="1">
      <c r="A36" s="196" t="n">
        <v>32</v>
      </c>
      <c r="B36" s="197" t="inlineStr">
        <is>
          <t>Ford</t>
        </is>
      </c>
      <c r="C36" s="198" t="inlineStr">
        <is>
          <t>EcoSport</t>
        </is>
      </c>
      <c r="D36" s="199" t="inlineStr">
        <is>
          <t>Titanium 1.5L TDCi</t>
        </is>
      </c>
      <c r="E36" s="200" t="inlineStr">
        <is>
          <t>Lightning Blue</t>
        </is>
      </c>
    </row>
    <row r="37" ht="15" customHeight="1">
      <c r="A37" s="196" t="n">
        <v>33</v>
      </c>
      <c r="B37" s="197" t="inlineStr">
        <is>
          <t>Ford</t>
        </is>
      </c>
      <c r="C37" s="198" t="inlineStr">
        <is>
          <t>EcoSport</t>
        </is>
      </c>
      <c r="D37" s="199" t="inlineStr">
        <is>
          <t>Titanium 1.5L TDCi</t>
        </is>
      </c>
      <c r="E37" s="200" t="inlineStr">
        <is>
          <t>Moondust Silver</t>
        </is>
      </c>
    </row>
    <row r="38" ht="15" customHeight="1">
      <c r="A38" s="196" t="n">
        <v>34</v>
      </c>
      <c r="B38" s="197" t="inlineStr">
        <is>
          <t>Ford</t>
        </is>
      </c>
      <c r="C38" s="198" t="inlineStr">
        <is>
          <t>EcoSport</t>
        </is>
      </c>
      <c r="D38" s="199" t="inlineStr">
        <is>
          <t>Titanium 1.5L TDCi</t>
        </is>
      </c>
      <c r="E38" s="200" t="inlineStr">
        <is>
          <t>Race Red</t>
        </is>
      </c>
    </row>
    <row r="39" ht="15" customHeight="1">
      <c r="A39" s="196" t="n">
        <v>35</v>
      </c>
      <c r="B39" s="197" t="inlineStr">
        <is>
          <t>Ford</t>
        </is>
      </c>
      <c r="C39" s="198" t="inlineStr">
        <is>
          <t>EcoSport</t>
        </is>
      </c>
      <c r="D39" s="199" t="inlineStr">
        <is>
          <t>Titanium 1.5L TDCi</t>
        </is>
      </c>
      <c r="E39" s="200" t="inlineStr">
        <is>
          <t>Smoke Grey</t>
        </is>
      </c>
    </row>
    <row r="40" ht="15" customHeight="1">
      <c r="A40" s="196" t="n">
        <v>36</v>
      </c>
      <c r="B40" s="197" t="inlineStr">
        <is>
          <t>Ford</t>
        </is>
      </c>
      <c r="C40" s="198" t="inlineStr">
        <is>
          <t>EcoSport</t>
        </is>
      </c>
      <c r="D40" s="199" t="inlineStr">
        <is>
          <t>Trend 1.5L Ti-VCT</t>
        </is>
      </c>
      <c r="E40" s="200" t="inlineStr">
        <is>
          <t>Absolute Black</t>
        </is>
      </c>
    </row>
    <row r="41" ht="15" customHeight="1">
      <c r="A41" s="196" t="n">
        <v>37</v>
      </c>
      <c r="B41" s="197" t="inlineStr">
        <is>
          <t>Ford</t>
        </is>
      </c>
      <c r="C41" s="198" t="inlineStr">
        <is>
          <t>EcoSport</t>
        </is>
      </c>
      <c r="D41" s="199" t="inlineStr">
        <is>
          <t>Trend 1.5L Ti-VCT</t>
        </is>
      </c>
      <c r="E41" s="200" t="inlineStr">
        <is>
          <t>Canyon Ridge</t>
        </is>
      </c>
    </row>
    <row r="42" ht="15" customHeight="1">
      <c r="A42" s="196" t="n">
        <v>38</v>
      </c>
      <c r="B42" s="197" t="inlineStr">
        <is>
          <t>Ford</t>
        </is>
      </c>
      <c r="C42" s="198" t="inlineStr">
        <is>
          <t>EcoSport</t>
        </is>
      </c>
      <c r="D42" s="199" t="inlineStr">
        <is>
          <t>Trend 1.5L Ti-VCT</t>
        </is>
      </c>
      <c r="E42" s="200" t="inlineStr">
        <is>
          <t>Diamond White</t>
        </is>
      </c>
    </row>
    <row r="43" ht="15" customHeight="1">
      <c r="A43" s="196" t="n">
        <v>39</v>
      </c>
      <c r="B43" s="197" t="inlineStr">
        <is>
          <t>Ford</t>
        </is>
      </c>
      <c r="C43" s="198" t="inlineStr">
        <is>
          <t>EcoSport</t>
        </is>
      </c>
      <c r="D43" s="199" t="inlineStr">
        <is>
          <t>Trend 1.5L Ti-VCT</t>
        </is>
      </c>
      <c r="E43" s="200" t="inlineStr">
        <is>
          <t>Lightning Blue</t>
        </is>
      </c>
    </row>
    <row r="44" ht="15" customHeight="1">
      <c r="A44" s="196" t="n">
        <v>40</v>
      </c>
      <c r="B44" s="197" t="inlineStr">
        <is>
          <t>Ford</t>
        </is>
      </c>
      <c r="C44" s="198" t="inlineStr">
        <is>
          <t>EcoSport</t>
        </is>
      </c>
      <c r="D44" s="199" t="inlineStr">
        <is>
          <t>Trend 1.5L Ti-VCT</t>
        </is>
      </c>
      <c r="E44" s="200" t="inlineStr">
        <is>
          <t>Moondust Silver</t>
        </is>
      </c>
    </row>
    <row r="45" ht="15" customHeight="1">
      <c r="A45" s="196" t="n">
        <v>41</v>
      </c>
      <c r="B45" s="197" t="inlineStr">
        <is>
          <t>Ford</t>
        </is>
      </c>
      <c r="C45" s="198" t="inlineStr">
        <is>
          <t>EcoSport</t>
        </is>
      </c>
      <c r="D45" s="199" t="inlineStr">
        <is>
          <t>Trend 1.5L Ti-VCT</t>
        </is>
      </c>
      <c r="E45" s="200" t="inlineStr">
        <is>
          <t>Race Red</t>
        </is>
      </c>
    </row>
    <row r="46" ht="15" customHeight="1">
      <c r="A46" s="196" t="n">
        <v>42</v>
      </c>
      <c r="B46" s="197" t="inlineStr">
        <is>
          <t>Ford</t>
        </is>
      </c>
      <c r="C46" s="198" t="inlineStr">
        <is>
          <t>EcoSport</t>
        </is>
      </c>
      <c r="D46" s="199" t="inlineStr">
        <is>
          <t>Trend 1.5L Ti-VCT</t>
        </is>
      </c>
      <c r="E46" s="200" t="inlineStr">
        <is>
          <t>Smoke Grey</t>
        </is>
      </c>
    </row>
    <row r="47" ht="15" customHeight="1">
      <c r="A47" s="196" t="n">
        <v>43</v>
      </c>
      <c r="B47" s="197" t="inlineStr">
        <is>
          <t>Ford</t>
        </is>
      </c>
      <c r="C47" s="198" t="inlineStr">
        <is>
          <t>Endeavour (Everest)</t>
        </is>
      </c>
      <c r="D47" s="199" t="inlineStr">
        <is>
          <t>Sport 2.0 4x4 AT</t>
        </is>
      </c>
      <c r="E47" s="200" t="inlineStr">
        <is>
          <t>Absolute Black</t>
        </is>
      </c>
    </row>
    <row r="48" ht="15" customHeight="1">
      <c r="A48" s="196" t="n">
        <v>44</v>
      </c>
      <c r="B48" s="197" t="inlineStr">
        <is>
          <t>Ford</t>
        </is>
      </c>
      <c r="C48" s="198" t="inlineStr">
        <is>
          <t>Endeavour (Everest)</t>
        </is>
      </c>
      <c r="D48" s="199" t="inlineStr">
        <is>
          <t>Sport 2.0 4x4 AT</t>
        </is>
      </c>
      <c r="E48" s="200" t="inlineStr">
        <is>
          <t>Diamond White</t>
        </is>
      </c>
    </row>
    <row r="49" ht="15" customHeight="1">
      <c r="A49" s="196" t="n">
        <v>45</v>
      </c>
      <c r="B49" s="197" t="inlineStr">
        <is>
          <t>Ford</t>
        </is>
      </c>
      <c r="C49" s="198" t="inlineStr">
        <is>
          <t>Endeavour (Everest)</t>
        </is>
      </c>
      <c r="D49" s="199" t="inlineStr">
        <is>
          <t>Sport 2.0 4x4 AT</t>
        </is>
      </c>
      <c r="E49" s="200" t="inlineStr">
        <is>
          <t>Diffused Silver</t>
        </is>
      </c>
    </row>
    <row r="50" ht="15" customHeight="1">
      <c r="A50" s="196" t="n">
        <v>46</v>
      </c>
      <c r="B50" s="197" t="inlineStr">
        <is>
          <t>Ford</t>
        </is>
      </c>
      <c r="C50" s="198" t="inlineStr">
        <is>
          <t>Endeavour (Everest)</t>
        </is>
      </c>
      <c r="D50" s="199" t="inlineStr">
        <is>
          <t>Titanium 2.2 4x2 MT</t>
        </is>
      </c>
      <c r="E50" s="200" t="inlineStr">
        <is>
          <t>Absolute Black</t>
        </is>
      </c>
    </row>
    <row r="51" ht="15" customHeight="1">
      <c r="A51" s="196" t="n">
        <v>47</v>
      </c>
      <c r="B51" s="197" t="inlineStr">
        <is>
          <t>Ford</t>
        </is>
      </c>
      <c r="C51" s="198" t="inlineStr">
        <is>
          <t>Endeavour (Everest)</t>
        </is>
      </c>
      <c r="D51" s="199" t="inlineStr">
        <is>
          <t>Titanium 2.2 4x2 MT</t>
        </is>
      </c>
      <c r="E51" s="200" t="inlineStr">
        <is>
          <t>Diamond White</t>
        </is>
      </c>
    </row>
    <row r="52" ht="15" customHeight="1">
      <c r="A52" s="196" t="n">
        <v>48</v>
      </c>
      <c r="B52" s="197" t="inlineStr">
        <is>
          <t>Ford</t>
        </is>
      </c>
      <c r="C52" s="198" t="inlineStr">
        <is>
          <t>Endeavour (Everest)</t>
        </is>
      </c>
      <c r="D52" s="199" t="inlineStr">
        <is>
          <t>Titanium 2.2 4x2 MT</t>
        </is>
      </c>
      <c r="E52" s="200" t="inlineStr">
        <is>
          <t>Diffused Silver</t>
        </is>
      </c>
    </row>
    <row r="53" ht="15" customHeight="1">
      <c r="A53" s="196" t="n">
        <v>49</v>
      </c>
      <c r="B53" s="197" t="inlineStr">
        <is>
          <t>Ford</t>
        </is>
      </c>
      <c r="C53" s="198" t="inlineStr">
        <is>
          <t>Fiesta Classic</t>
        </is>
      </c>
      <c r="D53" s="199" t="inlineStr">
        <is>
          <t>Ambiente Diesel</t>
        </is>
      </c>
      <c r="E53" s="200" t="inlineStr">
        <is>
          <t>Ford Fiesta</t>
        </is>
      </c>
    </row>
    <row r="54" ht="15" customHeight="1">
      <c r="A54" s="196" t="n">
        <v>50</v>
      </c>
      <c r="B54" s="197" t="inlineStr">
        <is>
          <t>Ford</t>
        </is>
      </c>
      <c r="C54" s="198" t="inlineStr">
        <is>
          <t>Fiesta Classic</t>
        </is>
      </c>
      <c r="D54" s="199" t="inlineStr">
        <is>
          <t>Titanium Diesel</t>
        </is>
      </c>
      <c r="E54" s="200" t="inlineStr">
        <is>
          <t>Ford Fiesta</t>
        </is>
      </c>
    </row>
    <row r="55" ht="15" customHeight="1">
      <c r="A55" s="196" t="n">
        <v>51</v>
      </c>
      <c r="B55" s="197" t="inlineStr">
        <is>
          <t>Ford</t>
        </is>
      </c>
      <c r="C55" s="198" t="inlineStr">
        <is>
          <t>Fiesta Classic</t>
        </is>
      </c>
      <c r="D55" s="199" t="inlineStr">
        <is>
          <t>Trend Diesel</t>
        </is>
      </c>
      <c r="E55" s="200" t="inlineStr">
        <is>
          <t>Ford Fiesta</t>
        </is>
      </c>
    </row>
    <row r="56" ht="15" customHeight="1">
      <c r="A56" s="196" t="n">
        <v>52</v>
      </c>
      <c r="B56" s="197" t="inlineStr">
        <is>
          <t>Ford</t>
        </is>
      </c>
      <c r="C56" s="198" t="inlineStr">
        <is>
          <t>Figo</t>
        </is>
      </c>
      <c r="D56" s="199" t="inlineStr">
        <is>
          <t>Ambiente 1.2 Ti-VCT</t>
        </is>
      </c>
      <c r="E56" s="200" t="inlineStr">
        <is>
          <t>Diamond White</t>
        </is>
      </c>
    </row>
    <row r="57" ht="15" customHeight="1">
      <c r="A57" s="196" t="n">
        <v>53</v>
      </c>
      <c r="B57" s="197" t="inlineStr">
        <is>
          <t>Ford</t>
        </is>
      </c>
      <c r="C57" s="198" t="inlineStr">
        <is>
          <t>Figo</t>
        </is>
      </c>
      <c r="D57" s="199" t="inlineStr">
        <is>
          <t>Ambiente 1.2 Ti-VCT</t>
        </is>
      </c>
      <c r="E57" s="200" t="inlineStr">
        <is>
          <t>Ruby Red</t>
        </is>
      </c>
    </row>
    <row r="58" ht="15" customHeight="1">
      <c r="A58" s="196" t="n">
        <v>54</v>
      </c>
      <c r="B58" s="197" t="inlineStr">
        <is>
          <t>Ford</t>
        </is>
      </c>
      <c r="C58" s="198" t="inlineStr">
        <is>
          <t>Figo</t>
        </is>
      </c>
      <c r="D58" s="199" t="inlineStr">
        <is>
          <t>Ambiente 1.2 Ti-VCT</t>
        </is>
      </c>
      <c r="E58" s="200" t="inlineStr">
        <is>
          <t>Smoke Grey</t>
        </is>
      </c>
    </row>
    <row r="59" ht="15" customHeight="1">
      <c r="A59" s="196" t="n">
        <v>55</v>
      </c>
      <c r="B59" s="197" t="inlineStr">
        <is>
          <t>Ford</t>
        </is>
      </c>
      <c r="C59" s="198" t="inlineStr">
        <is>
          <t>Figo</t>
        </is>
      </c>
      <c r="D59" s="199" t="inlineStr">
        <is>
          <t>Ambiente 1.2 Ti-VCT</t>
        </is>
      </c>
      <c r="E59" s="200" t="inlineStr">
        <is>
          <t>White Gold</t>
        </is>
      </c>
    </row>
    <row r="60" ht="15" customHeight="1">
      <c r="A60" s="196" t="n">
        <v>56</v>
      </c>
      <c r="B60" s="197" t="inlineStr">
        <is>
          <t>Ford</t>
        </is>
      </c>
      <c r="C60" s="198" t="inlineStr">
        <is>
          <t>Figo</t>
        </is>
      </c>
      <c r="D60" s="199" t="inlineStr">
        <is>
          <t>Titanium 1.2 Ti-VCT</t>
        </is>
      </c>
      <c r="E60" s="200" t="inlineStr">
        <is>
          <t>Diamond White</t>
        </is>
      </c>
    </row>
    <row r="61" ht="15" customHeight="1">
      <c r="A61" s="196" t="n">
        <v>57</v>
      </c>
      <c r="B61" s="197" t="inlineStr">
        <is>
          <t>Ford</t>
        </is>
      </c>
      <c r="C61" s="198" t="inlineStr">
        <is>
          <t>Figo</t>
        </is>
      </c>
      <c r="D61" s="199" t="inlineStr">
        <is>
          <t>Titanium 1.2 Ti-VCT</t>
        </is>
      </c>
      <c r="E61" s="200" t="inlineStr">
        <is>
          <t>Ruby Red</t>
        </is>
      </c>
    </row>
    <row r="62" ht="15" customHeight="1">
      <c r="A62" s="196" t="n">
        <v>58</v>
      </c>
      <c r="B62" s="197" t="inlineStr">
        <is>
          <t>Ford</t>
        </is>
      </c>
      <c r="C62" s="198" t="inlineStr">
        <is>
          <t>Figo</t>
        </is>
      </c>
      <c r="D62" s="199" t="inlineStr">
        <is>
          <t>Titanium 1.2 Ti-VCT</t>
        </is>
      </c>
      <c r="E62" s="200" t="inlineStr">
        <is>
          <t>Smoke Grey</t>
        </is>
      </c>
    </row>
    <row r="63" ht="15" customHeight="1">
      <c r="A63" s="196" t="n">
        <v>59</v>
      </c>
      <c r="B63" s="197" t="inlineStr">
        <is>
          <t>Ford</t>
        </is>
      </c>
      <c r="C63" s="198" t="inlineStr">
        <is>
          <t>Figo</t>
        </is>
      </c>
      <c r="D63" s="199" t="inlineStr">
        <is>
          <t>Titanium 1.2 Ti-VCT</t>
        </is>
      </c>
      <c r="E63" s="200" t="inlineStr">
        <is>
          <t>White Gold</t>
        </is>
      </c>
    </row>
    <row r="64" ht="15" customHeight="1">
      <c r="A64" s="196" t="n">
        <v>60</v>
      </c>
      <c r="B64" s="197" t="inlineStr">
        <is>
          <t>Ford</t>
        </is>
      </c>
      <c r="C64" s="198" t="inlineStr">
        <is>
          <t>Figo</t>
        </is>
      </c>
      <c r="D64" s="199" t="inlineStr">
        <is>
          <t>Trend 1.2 Ti-VCT</t>
        </is>
      </c>
      <c r="E64" s="200" t="inlineStr">
        <is>
          <t>Diamond White</t>
        </is>
      </c>
    </row>
    <row r="65" ht="15" customHeight="1">
      <c r="A65" s="196" t="n">
        <v>61</v>
      </c>
      <c r="B65" s="197" t="inlineStr">
        <is>
          <t>Ford</t>
        </is>
      </c>
      <c r="C65" s="198" t="inlineStr">
        <is>
          <t>Figo</t>
        </is>
      </c>
      <c r="D65" s="199" t="inlineStr">
        <is>
          <t>Trend 1.2 Ti-VCT</t>
        </is>
      </c>
      <c r="E65" s="200" t="inlineStr">
        <is>
          <t>Ruby Red</t>
        </is>
      </c>
    </row>
    <row r="66" ht="15" customHeight="1">
      <c r="A66" s="196" t="n">
        <v>62</v>
      </c>
      <c r="B66" s="197" t="inlineStr">
        <is>
          <t>Ford</t>
        </is>
      </c>
      <c r="C66" s="198" t="inlineStr">
        <is>
          <t>Figo</t>
        </is>
      </c>
      <c r="D66" s="199" t="inlineStr">
        <is>
          <t>Trend 1.2 Ti-VCT</t>
        </is>
      </c>
      <c r="E66" s="200" t="inlineStr">
        <is>
          <t>Smoke Grey</t>
        </is>
      </c>
    </row>
    <row r="67" ht="15" customHeight="1">
      <c r="A67" s="196" t="n">
        <v>63</v>
      </c>
      <c r="B67" s="197" t="inlineStr">
        <is>
          <t>Ford</t>
        </is>
      </c>
      <c r="C67" s="198" t="inlineStr">
        <is>
          <t>Figo</t>
        </is>
      </c>
      <c r="D67" s="199" t="inlineStr">
        <is>
          <t>Trend 1.2 Ti-VCT</t>
        </is>
      </c>
      <c r="E67" s="200" t="inlineStr">
        <is>
          <t>White Gold</t>
        </is>
      </c>
    </row>
    <row r="68" ht="15" customHeight="1">
      <c r="A68" s="196" t="n">
        <v>64</v>
      </c>
      <c r="B68" s="197" t="inlineStr">
        <is>
          <t>Ford</t>
        </is>
      </c>
      <c r="C68" s="198" t="inlineStr">
        <is>
          <t>Freestyle Aspire</t>
        </is>
      </c>
      <c r="D68" s="199" t="inlineStr">
        <is>
          <t>Ambiente 1.2 Ti-VCT</t>
        </is>
      </c>
      <c r="E68" s="200" t="inlineStr">
        <is>
          <t>Diamond White</t>
        </is>
      </c>
    </row>
    <row r="69" ht="15" customHeight="1">
      <c r="A69" s="196" t="n">
        <v>65</v>
      </c>
      <c r="B69" s="197" t="inlineStr">
        <is>
          <t>Ford</t>
        </is>
      </c>
      <c r="C69" s="198" t="inlineStr">
        <is>
          <t>Freestyle Aspire</t>
        </is>
      </c>
      <c r="D69" s="199" t="inlineStr">
        <is>
          <t>Ambiente 1.2 Ti-VCT</t>
        </is>
      </c>
      <c r="E69" s="200" t="inlineStr">
        <is>
          <t>Moondust Silver</t>
        </is>
      </c>
    </row>
    <row r="70" ht="15" customHeight="1">
      <c r="A70" s="196" t="n">
        <v>66</v>
      </c>
      <c r="B70" s="197" t="inlineStr">
        <is>
          <t>Ford</t>
        </is>
      </c>
      <c r="C70" s="198" t="inlineStr">
        <is>
          <t>Freestyle Aspire</t>
        </is>
      </c>
      <c r="D70" s="199" t="inlineStr">
        <is>
          <t>Ambiente 1.2 Ti-VCT</t>
        </is>
      </c>
      <c r="E70" s="200" t="inlineStr">
        <is>
          <t>Ruby Red</t>
        </is>
      </c>
    </row>
    <row r="71" ht="15" customHeight="1">
      <c r="A71" s="196" t="n">
        <v>67</v>
      </c>
      <c r="B71" s="197" t="inlineStr">
        <is>
          <t>Ford</t>
        </is>
      </c>
      <c r="C71" s="198" t="inlineStr">
        <is>
          <t>Freestyle Aspire</t>
        </is>
      </c>
      <c r="D71" s="199" t="inlineStr">
        <is>
          <t>Ambiente 1.2 Ti-VCT</t>
        </is>
      </c>
      <c r="E71" s="200" t="inlineStr">
        <is>
          <t>Smoke Grey</t>
        </is>
      </c>
    </row>
    <row r="72" ht="15" customHeight="1">
      <c r="A72" s="196" t="n">
        <v>68</v>
      </c>
      <c r="B72" s="197" t="inlineStr">
        <is>
          <t>Ford</t>
        </is>
      </c>
      <c r="C72" s="198" t="inlineStr">
        <is>
          <t>Freestyle Aspire</t>
        </is>
      </c>
      <c r="D72" s="199" t="inlineStr">
        <is>
          <t>Ambiente 1.2 Ti-VCT</t>
        </is>
      </c>
      <c r="E72" s="200" t="inlineStr">
        <is>
          <t>White Gold</t>
        </is>
      </c>
    </row>
    <row r="73" ht="15" customHeight="1">
      <c r="A73" s="196" t="n">
        <v>69</v>
      </c>
      <c r="B73" s="197" t="inlineStr">
        <is>
          <t>Ford</t>
        </is>
      </c>
      <c r="C73" s="198" t="inlineStr">
        <is>
          <t>Freestyle Aspire</t>
        </is>
      </c>
      <c r="D73" s="199" t="inlineStr">
        <is>
          <t>Titanium 1.2 Ti-VCT</t>
        </is>
      </c>
      <c r="E73" s="200" t="inlineStr">
        <is>
          <t>Diamond White</t>
        </is>
      </c>
    </row>
    <row r="74" ht="15" customHeight="1">
      <c r="A74" s="196" t="n">
        <v>70</v>
      </c>
      <c r="B74" s="197" t="inlineStr">
        <is>
          <t>Ford</t>
        </is>
      </c>
      <c r="C74" s="198" t="inlineStr">
        <is>
          <t>Freestyle Aspire</t>
        </is>
      </c>
      <c r="D74" s="199" t="inlineStr">
        <is>
          <t>Titanium 1.2 Ti-VCT</t>
        </is>
      </c>
      <c r="E74" s="200" t="inlineStr">
        <is>
          <t>Moondust Silver</t>
        </is>
      </c>
    </row>
    <row r="75" ht="15" customHeight="1">
      <c r="A75" s="196" t="n">
        <v>71</v>
      </c>
      <c r="B75" s="197" t="inlineStr">
        <is>
          <t>Ford</t>
        </is>
      </c>
      <c r="C75" s="198" t="inlineStr">
        <is>
          <t>Freestyle Aspire</t>
        </is>
      </c>
      <c r="D75" s="199" t="inlineStr">
        <is>
          <t>Titanium 1.2 Ti-VCT</t>
        </is>
      </c>
      <c r="E75" s="200" t="inlineStr">
        <is>
          <t>Ruby Red</t>
        </is>
      </c>
    </row>
    <row r="76" ht="15" customHeight="1">
      <c r="A76" s="196" t="n">
        <v>72</v>
      </c>
      <c r="B76" s="197" t="inlineStr">
        <is>
          <t>Ford</t>
        </is>
      </c>
      <c r="C76" s="198" t="inlineStr">
        <is>
          <t>Freestyle Aspire</t>
        </is>
      </c>
      <c r="D76" s="199" t="inlineStr">
        <is>
          <t>Titanium 1.2 Ti-VCT</t>
        </is>
      </c>
      <c r="E76" s="200" t="inlineStr">
        <is>
          <t>Smoke Grey</t>
        </is>
      </c>
    </row>
    <row r="77" ht="15" customHeight="1">
      <c r="A77" s="196" t="n">
        <v>73</v>
      </c>
      <c r="B77" s="197" t="inlineStr">
        <is>
          <t>Ford</t>
        </is>
      </c>
      <c r="C77" s="198" t="inlineStr">
        <is>
          <t>Freestyle Aspire</t>
        </is>
      </c>
      <c r="D77" s="199" t="inlineStr">
        <is>
          <t>Titanium 1.2 Ti-VCT</t>
        </is>
      </c>
      <c r="E77" s="200" t="inlineStr">
        <is>
          <t>White Gold</t>
        </is>
      </c>
    </row>
    <row r="78" ht="15" customHeight="1">
      <c r="A78" s="196" t="n">
        <v>74</v>
      </c>
      <c r="B78" s="197" t="inlineStr">
        <is>
          <t>Ford</t>
        </is>
      </c>
      <c r="C78" s="198" t="inlineStr">
        <is>
          <t>Freestyle Aspire</t>
        </is>
      </c>
      <c r="D78" s="199" t="inlineStr">
        <is>
          <t>Trend 1.2 Ti-VCT</t>
        </is>
      </c>
      <c r="E78" s="200" t="inlineStr">
        <is>
          <t>Diamond White</t>
        </is>
      </c>
    </row>
    <row r="79" ht="15" customHeight="1">
      <c r="A79" s="196" t="n">
        <v>75</v>
      </c>
      <c r="B79" s="197" t="inlineStr">
        <is>
          <t>Ford</t>
        </is>
      </c>
      <c r="C79" s="198" t="inlineStr">
        <is>
          <t>Freestyle Aspire</t>
        </is>
      </c>
      <c r="D79" s="199" t="inlineStr">
        <is>
          <t>Trend 1.2 Ti-VCT</t>
        </is>
      </c>
      <c r="E79" s="200" t="inlineStr">
        <is>
          <t>Moondust Silver</t>
        </is>
      </c>
    </row>
    <row r="80" ht="15" customHeight="1">
      <c r="A80" s="196" t="n">
        <v>76</v>
      </c>
      <c r="B80" s="197" t="inlineStr">
        <is>
          <t>Ford</t>
        </is>
      </c>
      <c r="C80" s="198" t="inlineStr">
        <is>
          <t>Freestyle Aspire</t>
        </is>
      </c>
      <c r="D80" s="199" t="inlineStr">
        <is>
          <t>Trend 1.2 Ti-VCT</t>
        </is>
      </c>
      <c r="E80" s="200" t="inlineStr">
        <is>
          <t>Ruby Red</t>
        </is>
      </c>
    </row>
    <row r="81" ht="15" customHeight="1">
      <c r="A81" s="196" t="n">
        <v>77</v>
      </c>
      <c r="B81" s="197" t="inlineStr">
        <is>
          <t>Ford</t>
        </is>
      </c>
      <c r="C81" s="198" t="inlineStr">
        <is>
          <t>Freestyle Aspire</t>
        </is>
      </c>
      <c r="D81" s="199" t="inlineStr">
        <is>
          <t>Trend 1.2 Ti-VCT</t>
        </is>
      </c>
      <c r="E81" s="200" t="inlineStr">
        <is>
          <t>Smoke Grey</t>
        </is>
      </c>
    </row>
    <row r="82" ht="15" customHeight="1">
      <c r="A82" s="196" t="n">
        <v>78</v>
      </c>
      <c r="B82" s="197" t="inlineStr">
        <is>
          <t>Ford</t>
        </is>
      </c>
      <c r="C82" s="198" t="inlineStr">
        <is>
          <t>Freestyle Aspire</t>
        </is>
      </c>
      <c r="D82" s="199" t="inlineStr">
        <is>
          <t>Trend 1.2 Ti-VCT</t>
        </is>
      </c>
      <c r="E82" s="200" t="inlineStr">
        <is>
          <t>White Gold</t>
        </is>
      </c>
    </row>
    <row r="83" ht="15" customHeight="1">
      <c r="A83" s="201" t="n">
        <v>79</v>
      </c>
      <c r="B83" s="202" t="inlineStr">
        <is>
          <t>Honda</t>
        </is>
      </c>
      <c r="C83" s="203" t="inlineStr">
        <is>
          <t>Amaze</t>
        </is>
      </c>
      <c r="D83" s="204" t="inlineStr">
        <is>
          <t>Amaze V  Petrol  Automatic</t>
        </is>
      </c>
      <c r="E83" s="205" t="inlineStr">
        <is>
          <t>Golden Brown Metallic</t>
        </is>
      </c>
    </row>
    <row r="84" ht="15" customHeight="1">
      <c r="A84" s="201" t="n">
        <v>80</v>
      </c>
      <c r="B84" s="202" t="inlineStr">
        <is>
          <t>Honda</t>
        </is>
      </c>
      <c r="C84" s="203" t="inlineStr">
        <is>
          <t>Amaze</t>
        </is>
      </c>
      <c r="D84" s="204" t="inlineStr">
        <is>
          <t>Amaze V  Petrol  Automatic</t>
        </is>
      </c>
      <c r="E84" s="205" t="inlineStr">
        <is>
          <t>Lunar Silver Metallic</t>
        </is>
      </c>
    </row>
    <row r="85" ht="15" customHeight="1">
      <c r="A85" s="201" t="n">
        <v>81</v>
      </c>
      <c r="B85" s="202" t="inlineStr">
        <is>
          <t>Honda</t>
        </is>
      </c>
      <c r="C85" s="203" t="inlineStr">
        <is>
          <t>Amaze</t>
        </is>
      </c>
      <c r="D85" s="204" t="inlineStr">
        <is>
          <t>Amaze V  Petrol  Automatic</t>
        </is>
      </c>
      <c r="E85" s="205" t="inlineStr">
        <is>
          <t>Meteoroid Grey Metallic</t>
        </is>
      </c>
    </row>
    <row r="86" ht="15" customHeight="1">
      <c r="A86" s="201" t="n">
        <v>82</v>
      </c>
      <c r="B86" s="202" t="inlineStr">
        <is>
          <t>Honda</t>
        </is>
      </c>
      <c r="C86" s="203" t="inlineStr">
        <is>
          <t>Amaze</t>
        </is>
      </c>
      <c r="D86" s="204" t="inlineStr">
        <is>
          <t>Amaze V  Petrol  Automatic</t>
        </is>
      </c>
      <c r="E86" s="205" t="inlineStr">
        <is>
          <t>Obsidian Blue Pearl</t>
        </is>
      </c>
    </row>
    <row r="87" ht="15" customHeight="1">
      <c r="A87" s="201" t="n">
        <v>83</v>
      </c>
      <c r="B87" s="202" t="inlineStr">
        <is>
          <t>Honda</t>
        </is>
      </c>
      <c r="C87" s="203" t="inlineStr">
        <is>
          <t>Amaze</t>
        </is>
      </c>
      <c r="D87" s="204" t="inlineStr">
        <is>
          <t>Amaze V  Petrol  Automatic</t>
        </is>
      </c>
      <c r="E87" s="205" t="inlineStr">
        <is>
          <t>Platinum White Pearl</t>
        </is>
      </c>
    </row>
    <row r="88" ht="15" customHeight="1">
      <c r="A88" s="201" t="n">
        <v>84</v>
      </c>
      <c r="B88" s="202" t="inlineStr">
        <is>
          <t>Honda</t>
        </is>
      </c>
      <c r="C88" s="203" t="inlineStr">
        <is>
          <t>Amaze</t>
        </is>
      </c>
      <c r="D88" s="204" t="inlineStr">
        <is>
          <t>Amaze V  Petrol  Automatic</t>
        </is>
      </c>
      <c r="E88" s="205" t="inlineStr">
        <is>
          <t>Radiant Red Metallic</t>
        </is>
      </c>
    </row>
    <row r="89" ht="15" customHeight="1">
      <c r="A89" s="201" t="n">
        <v>85</v>
      </c>
      <c r="B89" s="202" t="inlineStr">
        <is>
          <t>Honda</t>
        </is>
      </c>
      <c r="C89" s="203" t="inlineStr">
        <is>
          <t>Amaze</t>
        </is>
      </c>
      <c r="D89" s="204" t="inlineStr">
        <is>
          <t>Amaze V  Petrol  Manual</t>
        </is>
      </c>
      <c r="E89" s="205" t="inlineStr">
        <is>
          <t>Golden Brown Metallic</t>
        </is>
      </c>
    </row>
    <row r="90" ht="15" customHeight="1">
      <c r="A90" s="201" t="n">
        <v>86</v>
      </c>
      <c r="B90" s="202" t="inlineStr">
        <is>
          <t>Honda</t>
        </is>
      </c>
      <c r="C90" s="203" t="inlineStr">
        <is>
          <t>Amaze</t>
        </is>
      </c>
      <c r="D90" s="204" t="inlineStr">
        <is>
          <t>Amaze V  Petrol  Manual</t>
        </is>
      </c>
      <c r="E90" s="205" t="inlineStr">
        <is>
          <t>Lunar Silver Metallic</t>
        </is>
      </c>
    </row>
    <row r="91" ht="15" customHeight="1">
      <c r="A91" s="201" t="n">
        <v>87</v>
      </c>
      <c r="B91" s="202" t="inlineStr">
        <is>
          <t>Honda</t>
        </is>
      </c>
      <c r="C91" s="203" t="inlineStr">
        <is>
          <t>Amaze</t>
        </is>
      </c>
      <c r="D91" s="204" t="inlineStr">
        <is>
          <t>Amaze V  Petrol  Manual</t>
        </is>
      </c>
      <c r="E91" s="205" t="inlineStr">
        <is>
          <t>Meteoroid Grey Metallic</t>
        </is>
      </c>
    </row>
    <row r="92" ht="15" customHeight="1">
      <c r="A92" s="201" t="n">
        <v>88</v>
      </c>
      <c r="B92" s="202" t="inlineStr">
        <is>
          <t>Honda</t>
        </is>
      </c>
      <c r="C92" s="203" t="inlineStr">
        <is>
          <t>Amaze</t>
        </is>
      </c>
      <c r="D92" s="204" t="inlineStr">
        <is>
          <t>Amaze V  Petrol  Manual</t>
        </is>
      </c>
      <c r="E92" s="205" t="inlineStr">
        <is>
          <t>Obsidian Blue Pearl</t>
        </is>
      </c>
    </row>
    <row r="93" ht="15" customHeight="1">
      <c r="A93" s="201" t="n">
        <v>89</v>
      </c>
      <c r="B93" s="202" t="inlineStr">
        <is>
          <t>Honda</t>
        </is>
      </c>
      <c r="C93" s="203" t="inlineStr">
        <is>
          <t>Amaze</t>
        </is>
      </c>
      <c r="D93" s="204" t="inlineStr">
        <is>
          <t>Amaze V  Petrol  Manual</t>
        </is>
      </c>
      <c r="E93" s="205" t="inlineStr">
        <is>
          <t>Platinum White Pearl</t>
        </is>
      </c>
    </row>
    <row r="94" ht="15" customHeight="1">
      <c r="A94" s="201" t="n">
        <v>90</v>
      </c>
      <c r="B94" s="202" t="inlineStr">
        <is>
          <t>Honda</t>
        </is>
      </c>
      <c r="C94" s="203" t="inlineStr">
        <is>
          <t>Amaze</t>
        </is>
      </c>
      <c r="D94" s="204" t="inlineStr">
        <is>
          <t>Amaze V  Petrol  Manual</t>
        </is>
      </c>
      <c r="E94" s="205" t="inlineStr">
        <is>
          <t>Radiant Red Metallic</t>
        </is>
      </c>
    </row>
    <row r="95" ht="15" customHeight="1">
      <c r="A95" s="201" t="n">
        <v>91</v>
      </c>
      <c r="B95" s="202" t="inlineStr">
        <is>
          <t>Honda</t>
        </is>
      </c>
      <c r="C95" s="203" t="inlineStr">
        <is>
          <t>Amaze</t>
        </is>
      </c>
      <c r="D95" s="204" t="inlineStr">
        <is>
          <t>Amaze VX  Petrol  Automatic</t>
        </is>
      </c>
      <c r="E95" s="205" t="inlineStr">
        <is>
          <t>Golden Brown Metallic</t>
        </is>
      </c>
    </row>
    <row r="96" ht="15" customHeight="1">
      <c r="A96" s="201" t="n">
        <v>92</v>
      </c>
      <c r="B96" s="202" t="inlineStr">
        <is>
          <t>Honda</t>
        </is>
      </c>
      <c r="C96" s="203" t="inlineStr">
        <is>
          <t>Amaze</t>
        </is>
      </c>
      <c r="D96" s="204" t="inlineStr">
        <is>
          <t>Amaze VX  Petrol  Automatic</t>
        </is>
      </c>
      <c r="E96" s="205" t="inlineStr">
        <is>
          <t>Lunar Silver Metallic</t>
        </is>
      </c>
    </row>
    <row r="97" ht="15" customHeight="1">
      <c r="A97" s="201" t="n">
        <v>93</v>
      </c>
      <c r="B97" s="202" t="inlineStr">
        <is>
          <t>Honda</t>
        </is>
      </c>
      <c r="C97" s="203" t="inlineStr">
        <is>
          <t>Amaze</t>
        </is>
      </c>
      <c r="D97" s="204" t="inlineStr">
        <is>
          <t>Amaze VX  Petrol  Automatic</t>
        </is>
      </c>
      <c r="E97" s="205" t="inlineStr">
        <is>
          <t>Meteoroid Grey Metallic</t>
        </is>
      </c>
    </row>
    <row r="98" ht="15" customHeight="1">
      <c r="A98" s="201" t="n">
        <v>94</v>
      </c>
      <c r="B98" s="202" t="inlineStr">
        <is>
          <t>Honda</t>
        </is>
      </c>
      <c r="C98" s="203" t="inlineStr">
        <is>
          <t>Amaze</t>
        </is>
      </c>
      <c r="D98" s="204" t="inlineStr">
        <is>
          <t>Amaze VX  Petrol  Automatic</t>
        </is>
      </c>
      <c r="E98" s="205" t="inlineStr">
        <is>
          <t>Obsidian Blue Pearl</t>
        </is>
      </c>
    </row>
    <row r="99" ht="15" customHeight="1">
      <c r="A99" s="201" t="n">
        <v>95</v>
      </c>
      <c r="B99" s="202" t="inlineStr">
        <is>
          <t>Honda</t>
        </is>
      </c>
      <c r="C99" s="203" t="inlineStr">
        <is>
          <t>Amaze</t>
        </is>
      </c>
      <c r="D99" s="204" t="inlineStr">
        <is>
          <t>Amaze VX  Petrol  Automatic</t>
        </is>
      </c>
      <c r="E99" s="205" t="inlineStr">
        <is>
          <t>Platinum White Pearl</t>
        </is>
      </c>
    </row>
    <row r="100" ht="15" customHeight="1">
      <c r="A100" s="201" t="n">
        <v>96</v>
      </c>
      <c r="B100" s="202" t="inlineStr">
        <is>
          <t>Honda</t>
        </is>
      </c>
      <c r="C100" s="203" t="inlineStr">
        <is>
          <t>Amaze</t>
        </is>
      </c>
      <c r="D100" s="204" t="inlineStr">
        <is>
          <t>Amaze VX  Petrol  Automatic</t>
        </is>
      </c>
      <c r="E100" s="205" t="inlineStr">
        <is>
          <t>Radiant Red Metallic</t>
        </is>
      </c>
    </row>
    <row r="101" ht="15" customHeight="1">
      <c r="A101" s="201" t="n">
        <v>97</v>
      </c>
      <c r="B101" s="202" t="inlineStr">
        <is>
          <t>Honda</t>
        </is>
      </c>
      <c r="C101" s="203" t="inlineStr">
        <is>
          <t>Amaze</t>
        </is>
      </c>
      <c r="D101" s="204" t="inlineStr">
        <is>
          <t>Amaze VX  Petrol  Automatic  Elite Pack</t>
        </is>
      </c>
      <c r="E101" s="205" t="inlineStr">
        <is>
          <t>Golden Brown Metallic</t>
        </is>
      </c>
    </row>
    <row r="102" ht="15" customHeight="1">
      <c r="A102" s="201" t="n">
        <v>98</v>
      </c>
      <c r="B102" s="202" t="inlineStr">
        <is>
          <t>Honda</t>
        </is>
      </c>
      <c r="C102" s="203" t="inlineStr">
        <is>
          <t>Amaze</t>
        </is>
      </c>
      <c r="D102" s="204" t="inlineStr">
        <is>
          <t>Amaze VX  Petrol  Automatic  Elite Pack</t>
        </is>
      </c>
      <c r="E102" s="205" t="inlineStr">
        <is>
          <t>Lunar Silver Metallic</t>
        </is>
      </c>
    </row>
    <row r="103" ht="15" customHeight="1">
      <c r="A103" s="201" t="n">
        <v>99</v>
      </c>
      <c r="B103" s="202" t="inlineStr">
        <is>
          <t>Honda</t>
        </is>
      </c>
      <c r="C103" s="203" t="inlineStr">
        <is>
          <t>Amaze</t>
        </is>
      </c>
      <c r="D103" s="204" t="inlineStr">
        <is>
          <t>Amaze VX  Petrol  Automatic  Elite Pack</t>
        </is>
      </c>
      <c r="E103" s="205" t="inlineStr">
        <is>
          <t>Meteoroid Grey Metallic</t>
        </is>
      </c>
    </row>
    <row r="104" ht="15" customHeight="1">
      <c r="A104" s="201" t="n">
        <v>100</v>
      </c>
      <c r="B104" s="202" t="inlineStr">
        <is>
          <t>Honda</t>
        </is>
      </c>
      <c r="C104" s="203" t="inlineStr">
        <is>
          <t>Amaze</t>
        </is>
      </c>
      <c r="D104" s="204" t="inlineStr">
        <is>
          <t>Amaze VX  Petrol  Automatic  Elite Pack</t>
        </is>
      </c>
      <c r="E104" s="205" t="inlineStr">
        <is>
          <t>Obsidian Blue Pearl</t>
        </is>
      </c>
    </row>
    <row r="105" ht="15" customHeight="1">
      <c r="A105" s="201" t="n">
        <v>101</v>
      </c>
      <c r="B105" s="202" t="inlineStr">
        <is>
          <t>Honda</t>
        </is>
      </c>
      <c r="C105" s="203" t="inlineStr">
        <is>
          <t>Amaze</t>
        </is>
      </c>
      <c r="D105" s="204" t="inlineStr">
        <is>
          <t>Amaze VX  Petrol  Automatic  Elite Pack</t>
        </is>
      </c>
      <c r="E105" s="205" t="inlineStr">
        <is>
          <t>Platinum White Pearl</t>
        </is>
      </c>
    </row>
    <row r="106" ht="15" customHeight="1">
      <c r="A106" s="201" t="n">
        <v>102</v>
      </c>
      <c r="B106" s="202" t="inlineStr">
        <is>
          <t>Honda</t>
        </is>
      </c>
      <c r="C106" s="203" t="inlineStr">
        <is>
          <t>Amaze</t>
        </is>
      </c>
      <c r="D106" s="204" t="inlineStr">
        <is>
          <t>Amaze VX  Petrol  Automatic  Elite Pack</t>
        </is>
      </c>
      <c r="E106" s="205" t="inlineStr">
        <is>
          <t>Radiant Red Metallic</t>
        </is>
      </c>
    </row>
    <row r="107" ht="15" customHeight="1">
      <c r="A107" s="201" t="n">
        <v>103</v>
      </c>
      <c r="B107" s="202" t="inlineStr">
        <is>
          <t>Honda</t>
        </is>
      </c>
      <c r="C107" s="203" t="inlineStr">
        <is>
          <t>Amaze</t>
        </is>
      </c>
      <c r="D107" s="204" t="inlineStr">
        <is>
          <t>Amaze VX  Petrol  Manual</t>
        </is>
      </c>
      <c r="E107" s="205" t="inlineStr">
        <is>
          <t>Golden Brown Metallic</t>
        </is>
      </c>
    </row>
    <row r="108" ht="15" customHeight="1">
      <c r="A108" s="201" t="n">
        <v>104</v>
      </c>
      <c r="B108" s="202" t="inlineStr">
        <is>
          <t>Honda</t>
        </is>
      </c>
      <c r="C108" s="203" t="inlineStr">
        <is>
          <t>Amaze</t>
        </is>
      </c>
      <c r="D108" s="204" t="inlineStr">
        <is>
          <t>Amaze VX  Petrol  Manual</t>
        </is>
      </c>
      <c r="E108" s="205" t="inlineStr">
        <is>
          <t>Lunar Silver Metallic</t>
        </is>
      </c>
    </row>
    <row r="109" ht="15" customHeight="1">
      <c r="A109" s="201" t="n">
        <v>105</v>
      </c>
      <c r="B109" s="202" t="inlineStr">
        <is>
          <t>Honda</t>
        </is>
      </c>
      <c r="C109" s="203" t="inlineStr">
        <is>
          <t>Amaze</t>
        </is>
      </c>
      <c r="D109" s="204" t="inlineStr">
        <is>
          <t>Amaze VX  Petrol  Manual</t>
        </is>
      </c>
      <c r="E109" s="205" t="inlineStr">
        <is>
          <t>Meteoroid Grey Metallic</t>
        </is>
      </c>
    </row>
    <row r="110" ht="15" customHeight="1">
      <c r="A110" s="201" t="n">
        <v>106</v>
      </c>
      <c r="B110" s="202" t="inlineStr">
        <is>
          <t>Honda</t>
        </is>
      </c>
      <c r="C110" s="203" t="inlineStr">
        <is>
          <t>Amaze</t>
        </is>
      </c>
      <c r="D110" s="204" t="inlineStr">
        <is>
          <t>Amaze VX  Petrol  Manual</t>
        </is>
      </c>
      <c r="E110" s="205" t="inlineStr">
        <is>
          <t>Obsidian Blue Pearl</t>
        </is>
      </c>
    </row>
    <row r="111" ht="15" customHeight="1">
      <c r="A111" s="201" t="n">
        <v>107</v>
      </c>
      <c r="B111" s="202" t="inlineStr">
        <is>
          <t>Honda</t>
        </is>
      </c>
      <c r="C111" s="203" t="inlineStr">
        <is>
          <t>Amaze</t>
        </is>
      </c>
      <c r="D111" s="204" t="inlineStr">
        <is>
          <t>Amaze VX  Petrol  Manual</t>
        </is>
      </c>
      <c r="E111" s="205" t="inlineStr">
        <is>
          <t>Platinum White Pearl</t>
        </is>
      </c>
    </row>
    <row r="112" ht="15" customHeight="1">
      <c r="A112" s="201" t="n">
        <v>108</v>
      </c>
      <c r="B112" s="202" t="inlineStr">
        <is>
          <t>Honda</t>
        </is>
      </c>
      <c r="C112" s="203" t="inlineStr">
        <is>
          <t>Amaze</t>
        </is>
      </c>
      <c r="D112" s="204" t="inlineStr">
        <is>
          <t>Amaze VX  Petrol  Manual</t>
        </is>
      </c>
      <c r="E112" s="205" t="inlineStr">
        <is>
          <t>Radiant Red Metallic</t>
        </is>
      </c>
    </row>
    <row r="113" ht="15" customHeight="1">
      <c r="A113" s="201" t="n">
        <v>109</v>
      </c>
      <c r="B113" s="202" t="inlineStr">
        <is>
          <t>Honda</t>
        </is>
      </c>
      <c r="C113" s="203" t="inlineStr">
        <is>
          <t>Amaze</t>
        </is>
      </c>
      <c r="D113" s="204" t="inlineStr">
        <is>
          <t>Amaze VX  Petrol  Manual  Elite Pack</t>
        </is>
      </c>
      <c r="E113" s="205" t="inlineStr">
        <is>
          <t>Golden Brown Metallic</t>
        </is>
      </c>
    </row>
    <row r="114" ht="15" customHeight="1">
      <c r="A114" s="201" t="n">
        <v>110</v>
      </c>
      <c r="B114" s="202" t="inlineStr">
        <is>
          <t>Honda</t>
        </is>
      </c>
      <c r="C114" s="203" t="inlineStr">
        <is>
          <t>Amaze</t>
        </is>
      </c>
      <c r="D114" s="204" t="inlineStr">
        <is>
          <t>Amaze VX  Petrol  Manual  Elite Pack</t>
        </is>
      </c>
      <c r="E114" s="205" t="inlineStr">
        <is>
          <t>Lunar Silver Metallic</t>
        </is>
      </c>
    </row>
    <row r="115" ht="15" customHeight="1">
      <c r="A115" s="201" t="n">
        <v>111</v>
      </c>
      <c r="B115" s="202" t="inlineStr">
        <is>
          <t>Honda</t>
        </is>
      </c>
      <c r="C115" s="203" t="inlineStr">
        <is>
          <t>Amaze</t>
        </is>
      </c>
      <c r="D115" s="204" t="inlineStr">
        <is>
          <t>Amaze VX  Petrol  Manual  Elite Pack</t>
        </is>
      </c>
      <c r="E115" s="205" t="inlineStr">
        <is>
          <t>Meteoroid Grey Metallic</t>
        </is>
      </c>
    </row>
    <row r="116" ht="15" customHeight="1">
      <c r="A116" s="201" t="n">
        <v>112</v>
      </c>
      <c r="B116" s="202" t="inlineStr">
        <is>
          <t>Honda</t>
        </is>
      </c>
      <c r="C116" s="203" t="inlineStr">
        <is>
          <t>Amaze</t>
        </is>
      </c>
      <c r="D116" s="204" t="inlineStr">
        <is>
          <t>Amaze VX  Petrol  Manual  Elite Pack</t>
        </is>
      </c>
      <c r="E116" s="205" t="inlineStr">
        <is>
          <t>Obsidian Blue Pearl</t>
        </is>
      </c>
    </row>
    <row r="117" ht="15" customHeight="1">
      <c r="A117" s="201" t="n">
        <v>113</v>
      </c>
      <c r="B117" s="202" t="inlineStr">
        <is>
          <t>Honda</t>
        </is>
      </c>
      <c r="C117" s="203" t="inlineStr">
        <is>
          <t>Amaze</t>
        </is>
      </c>
      <c r="D117" s="204" t="inlineStr">
        <is>
          <t>Amaze VX  Petrol  Manual  Elite Pack</t>
        </is>
      </c>
      <c r="E117" s="205" t="inlineStr">
        <is>
          <t>Platinum White Pearl</t>
        </is>
      </c>
    </row>
    <row r="118" ht="15" customHeight="1">
      <c r="A118" s="201" t="n">
        <v>114</v>
      </c>
      <c r="B118" s="202" t="inlineStr">
        <is>
          <t>Honda</t>
        </is>
      </c>
      <c r="C118" s="203" t="inlineStr">
        <is>
          <t>Amaze</t>
        </is>
      </c>
      <c r="D118" s="204" t="inlineStr">
        <is>
          <t>Amaze VX  Petrol  Manual  Elite Pack</t>
        </is>
      </c>
      <c r="E118" s="205" t="inlineStr">
        <is>
          <t>Radiant Red Metallic</t>
        </is>
      </c>
    </row>
    <row r="119" ht="15" customHeight="1">
      <c r="A119" s="201" t="n">
        <v>115</v>
      </c>
      <c r="B119" s="202" t="inlineStr">
        <is>
          <t>Honda</t>
        </is>
      </c>
      <c r="C119" s="203" t="inlineStr">
        <is>
          <t>Amaze</t>
        </is>
      </c>
      <c r="D119" s="204" t="inlineStr">
        <is>
          <t>Amaze ZX  Petrol  Automatic</t>
        </is>
      </c>
      <c r="E119" s="205" t="inlineStr">
        <is>
          <t>Golden Brown Metallic</t>
        </is>
      </c>
    </row>
    <row r="120" ht="15" customHeight="1">
      <c r="A120" s="201" t="n">
        <v>116</v>
      </c>
      <c r="B120" s="202" t="inlineStr">
        <is>
          <t>Honda</t>
        </is>
      </c>
      <c r="C120" s="203" t="inlineStr">
        <is>
          <t>Amaze</t>
        </is>
      </c>
      <c r="D120" s="204" t="inlineStr">
        <is>
          <t>Amaze ZX  Petrol  Automatic</t>
        </is>
      </c>
      <c r="E120" s="205" t="inlineStr">
        <is>
          <t>Lunar Silver Metallic</t>
        </is>
      </c>
    </row>
    <row r="121" ht="15" customHeight="1">
      <c r="A121" s="201" t="n">
        <v>117</v>
      </c>
      <c r="B121" s="202" t="inlineStr">
        <is>
          <t>Honda</t>
        </is>
      </c>
      <c r="C121" s="203" t="inlineStr">
        <is>
          <t>Amaze</t>
        </is>
      </c>
      <c r="D121" s="204" t="inlineStr">
        <is>
          <t>Amaze ZX  Petrol  Automatic</t>
        </is>
      </c>
      <c r="E121" s="205" t="inlineStr">
        <is>
          <t>Meteoroid Grey Metallic</t>
        </is>
      </c>
    </row>
    <row r="122" ht="15" customHeight="1">
      <c r="A122" s="201" t="n">
        <v>118</v>
      </c>
      <c r="B122" s="202" t="inlineStr">
        <is>
          <t>Honda</t>
        </is>
      </c>
      <c r="C122" s="203" t="inlineStr">
        <is>
          <t>Amaze</t>
        </is>
      </c>
      <c r="D122" s="204" t="inlineStr">
        <is>
          <t>Amaze ZX  Petrol  Automatic</t>
        </is>
      </c>
      <c r="E122" s="205" t="inlineStr">
        <is>
          <t>Obsidian Blue Pearl</t>
        </is>
      </c>
    </row>
    <row r="123" ht="15" customHeight="1">
      <c r="A123" s="201" t="n">
        <v>119</v>
      </c>
      <c r="B123" s="202" t="inlineStr">
        <is>
          <t>Honda</t>
        </is>
      </c>
      <c r="C123" s="203" t="inlineStr">
        <is>
          <t>Amaze</t>
        </is>
      </c>
      <c r="D123" s="204" t="inlineStr">
        <is>
          <t>Amaze ZX  Petrol  Automatic</t>
        </is>
      </c>
      <c r="E123" s="205" t="inlineStr">
        <is>
          <t>Platinum White Pearl</t>
        </is>
      </c>
    </row>
    <row r="124" ht="15" customHeight="1">
      <c r="A124" s="201" t="n">
        <v>120</v>
      </c>
      <c r="B124" s="202" t="inlineStr">
        <is>
          <t>Honda</t>
        </is>
      </c>
      <c r="C124" s="203" t="inlineStr">
        <is>
          <t>Amaze</t>
        </is>
      </c>
      <c r="D124" s="204" t="inlineStr">
        <is>
          <t>Amaze ZX  Petrol  Automatic</t>
        </is>
      </c>
      <c r="E124" s="205" t="inlineStr">
        <is>
          <t>Radiant Red Metallic</t>
        </is>
      </c>
    </row>
    <row r="125" ht="15" customHeight="1">
      <c r="A125" s="201" t="n">
        <v>121</v>
      </c>
      <c r="B125" s="202" t="inlineStr">
        <is>
          <t>Honda</t>
        </is>
      </c>
      <c r="C125" s="203" t="inlineStr">
        <is>
          <t>Amaze</t>
        </is>
      </c>
      <c r="D125" s="204" t="inlineStr">
        <is>
          <t>Amaze ZX  Petrol  Manual</t>
        </is>
      </c>
      <c r="E125" s="205" t="inlineStr">
        <is>
          <t>Golden Brown Metallic</t>
        </is>
      </c>
    </row>
    <row r="126" ht="15" customHeight="1">
      <c r="A126" s="201" t="n">
        <v>122</v>
      </c>
      <c r="B126" s="202" t="inlineStr">
        <is>
          <t>Honda</t>
        </is>
      </c>
      <c r="C126" s="203" t="inlineStr">
        <is>
          <t>Amaze</t>
        </is>
      </c>
      <c r="D126" s="204" t="inlineStr">
        <is>
          <t>Amaze ZX  Petrol  Manual</t>
        </is>
      </c>
      <c r="E126" s="205" t="inlineStr">
        <is>
          <t>Lunar Silver Metallic</t>
        </is>
      </c>
    </row>
    <row r="127" ht="15" customHeight="1">
      <c r="A127" s="201" t="n">
        <v>123</v>
      </c>
      <c r="B127" s="202" t="inlineStr">
        <is>
          <t>Honda</t>
        </is>
      </c>
      <c r="C127" s="203" t="inlineStr">
        <is>
          <t>Amaze</t>
        </is>
      </c>
      <c r="D127" s="204" t="inlineStr">
        <is>
          <t>Amaze ZX  Petrol  Manual</t>
        </is>
      </c>
      <c r="E127" s="205" t="inlineStr">
        <is>
          <t>Meteoroid Grey Metallic</t>
        </is>
      </c>
    </row>
    <row r="128" ht="15" customHeight="1">
      <c r="A128" s="201" t="n">
        <v>124</v>
      </c>
      <c r="B128" s="202" t="inlineStr">
        <is>
          <t>Honda</t>
        </is>
      </c>
      <c r="C128" s="203" t="inlineStr">
        <is>
          <t>Amaze</t>
        </is>
      </c>
      <c r="D128" s="204" t="inlineStr">
        <is>
          <t>Amaze ZX  Petrol  Manual</t>
        </is>
      </c>
      <c r="E128" s="205" t="inlineStr">
        <is>
          <t>Obsidian Blue Pearl</t>
        </is>
      </c>
    </row>
    <row r="129" ht="15" customHeight="1">
      <c r="A129" s="201" t="n">
        <v>125</v>
      </c>
      <c r="B129" s="202" t="inlineStr">
        <is>
          <t>Honda</t>
        </is>
      </c>
      <c r="C129" s="203" t="inlineStr">
        <is>
          <t>Amaze</t>
        </is>
      </c>
      <c r="D129" s="204" t="inlineStr">
        <is>
          <t>Amaze ZX  Petrol  Manual</t>
        </is>
      </c>
      <c r="E129" s="205" t="inlineStr">
        <is>
          <t>Platinum White Pearl</t>
        </is>
      </c>
    </row>
    <row r="130" ht="15" customHeight="1">
      <c r="A130" s="201" t="n">
        <v>126</v>
      </c>
      <c r="B130" s="202" t="inlineStr">
        <is>
          <t>Honda</t>
        </is>
      </c>
      <c r="C130" s="203" t="inlineStr">
        <is>
          <t>Amaze</t>
        </is>
      </c>
      <c r="D130" s="204" t="inlineStr">
        <is>
          <t>Amaze ZX  Petrol  Manual</t>
        </is>
      </c>
      <c r="E130" s="205" t="inlineStr">
        <is>
          <t>Radiant Red Metallic</t>
        </is>
      </c>
    </row>
    <row r="131" ht="15" customHeight="1">
      <c r="A131" s="201" t="n">
        <v>127</v>
      </c>
      <c r="B131" s="202" t="inlineStr">
        <is>
          <t>Honda</t>
        </is>
      </c>
      <c r="C131" s="203" t="inlineStr">
        <is>
          <t>BR-V</t>
        </is>
      </c>
      <c r="D131" s="204" t="inlineStr">
        <is>
          <t>E Petrol</t>
        </is>
      </c>
      <c r="E131" s="205" t="inlineStr">
        <is>
          <t>Alabaster Silver Metallic</t>
        </is>
      </c>
    </row>
    <row r="132" ht="15" customHeight="1">
      <c r="A132" s="201" t="n">
        <v>128</v>
      </c>
      <c r="B132" s="202" t="inlineStr">
        <is>
          <t>Honda</t>
        </is>
      </c>
      <c r="C132" s="203" t="inlineStr">
        <is>
          <t>BR-V</t>
        </is>
      </c>
      <c r="D132" s="204" t="inlineStr">
        <is>
          <t>E Petrol</t>
        </is>
      </c>
      <c r="E132" s="205" t="inlineStr">
        <is>
          <t>Carnelian Red Pearl</t>
        </is>
      </c>
    </row>
    <row r="133" ht="15" customHeight="1">
      <c r="A133" s="201" t="n">
        <v>129</v>
      </c>
      <c r="B133" s="202" t="inlineStr">
        <is>
          <t>Honda</t>
        </is>
      </c>
      <c r="C133" s="203" t="inlineStr">
        <is>
          <t>BR-V</t>
        </is>
      </c>
      <c r="D133" s="204" t="inlineStr">
        <is>
          <t>E Petrol</t>
        </is>
      </c>
      <c r="E133" s="205" t="inlineStr">
        <is>
          <t>Golden Brown Metallic</t>
        </is>
      </c>
    </row>
    <row r="134" ht="15" customHeight="1">
      <c r="A134" s="201" t="n">
        <v>130</v>
      </c>
      <c r="B134" s="202" t="inlineStr">
        <is>
          <t>Honda</t>
        </is>
      </c>
      <c r="C134" s="203" t="inlineStr">
        <is>
          <t>BR-V</t>
        </is>
      </c>
      <c r="D134" s="204" t="inlineStr">
        <is>
          <t>E Petrol</t>
        </is>
      </c>
      <c r="E134" s="205" t="inlineStr">
        <is>
          <t>Modern Steel Metallic</t>
        </is>
      </c>
    </row>
    <row r="135" ht="15" customHeight="1">
      <c r="A135" s="201" t="n">
        <v>131</v>
      </c>
      <c r="B135" s="202" t="inlineStr">
        <is>
          <t>Honda</t>
        </is>
      </c>
      <c r="C135" s="203" t="inlineStr">
        <is>
          <t>BR-V</t>
        </is>
      </c>
      <c r="D135" s="204" t="inlineStr">
        <is>
          <t>E Petrol</t>
        </is>
      </c>
      <c r="E135" s="205" t="inlineStr">
        <is>
          <t>White Orchid Pearl</t>
        </is>
      </c>
    </row>
    <row r="136" ht="15" customHeight="1">
      <c r="A136" s="201" t="n">
        <v>132</v>
      </c>
      <c r="B136" s="202" t="inlineStr">
        <is>
          <t>Honda</t>
        </is>
      </c>
      <c r="C136" s="203" t="inlineStr">
        <is>
          <t>BR-V</t>
        </is>
      </c>
      <c r="D136" s="204" t="inlineStr">
        <is>
          <t>S Petrol</t>
        </is>
      </c>
      <c r="E136" s="205" t="inlineStr">
        <is>
          <t>Alabaster Silver Metallic</t>
        </is>
      </c>
    </row>
    <row r="137" ht="15" customHeight="1">
      <c r="A137" s="201" t="n">
        <v>133</v>
      </c>
      <c r="B137" s="202" t="inlineStr">
        <is>
          <t>Honda</t>
        </is>
      </c>
      <c r="C137" s="203" t="inlineStr">
        <is>
          <t>BR-V</t>
        </is>
      </c>
      <c r="D137" s="204" t="inlineStr">
        <is>
          <t>S Petrol</t>
        </is>
      </c>
      <c r="E137" s="205" t="inlineStr">
        <is>
          <t>Carnelian Red Pearl</t>
        </is>
      </c>
    </row>
    <row r="138" ht="15" customHeight="1">
      <c r="A138" s="201" t="n">
        <v>134</v>
      </c>
      <c r="B138" s="202" t="inlineStr">
        <is>
          <t>Honda</t>
        </is>
      </c>
      <c r="C138" s="203" t="inlineStr">
        <is>
          <t>BR-V</t>
        </is>
      </c>
      <c r="D138" s="204" t="inlineStr">
        <is>
          <t>S Petrol</t>
        </is>
      </c>
      <c r="E138" s="205" t="inlineStr">
        <is>
          <t>Golden Brown Metallic</t>
        </is>
      </c>
    </row>
    <row r="139" ht="15" customHeight="1">
      <c r="A139" s="201" t="n">
        <v>135</v>
      </c>
      <c r="B139" s="202" t="inlineStr">
        <is>
          <t>Honda</t>
        </is>
      </c>
      <c r="C139" s="203" t="inlineStr">
        <is>
          <t>BR-V</t>
        </is>
      </c>
      <c r="D139" s="204" t="inlineStr">
        <is>
          <t>S Petrol</t>
        </is>
      </c>
      <c r="E139" s="205" t="inlineStr">
        <is>
          <t>Modern Steel Metallic</t>
        </is>
      </c>
    </row>
    <row r="140" ht="15" customHeight="1">
      <c r="A140" s="201" t="n">
        <v>136</v>
      </c>
      <c r="B140" s="202" t="inlineStr">
        <is>
          <t>Honda</t>
        </is>
      </c>
      <c r="C140" s="203" t="inlineStr">
        <is>
          <t>BR-V</t>
        </is>
      </c>
      <c r="D140" s="204" t="inlineStr">
        <is>
          <t>S Petrol</t>
        </is>
      </c>
      <c r="E140" s="205" t="inlineStr">
        <is>
          <t>White Orchid Pearl</t>
        </is>
      </c>
    </row>
    <row r="141" ht="15" customHeight="1">
      <c r="A141" s="201" t="n">
        <v>137</v>
      </c>
      <c r="B141" s="202" t="inlineStr">
        <is>
          <t>Honda</t>
        </is>
      </c>
      <c r="C141" s="203" t="inlineStr">
        <is>
          <t>BR-V</t>
        </is>
      </c>
      <c r="D141" s="204" t="inlineStr">
        <is>
          <t>V Petrol</t>
        </is>
      </c>
      <c r="E141" s="205" t="inlineStr">
        <is>
          <t>Alabaster Silver Metallic</t>
        </is>
      </c>
    </row>
    <row r="142" ht="15" customHeight="1">
      <c r="A142" s="201" t="n">
        <v>138</v>
      </c>
      <c r="B142" s="202" t="inlineStr">
        <is>
          <t>Honda</t>
        </is>
      </c>
      <c r="C142" s="203" t="inlineStr">
        <is>
          <t>BR-V</t>
        </is>
      </c>
      <c r="D142" s="204" t="inlineStr">
        <is>
          <t>V Petrol</t>
        </is>
      </c>
      <c r="E142" s="205" t="inlineStr">
        <is>
          <t>Carnelian Red Pearl</t>
        </is>
      </c>
    </row>
    <row r="143" ht="15" customHeight="1">
      <c r="A143" s="201" t="n">
        <v>139</v>
      </c>
      <c r="B143" s="202" t="inlineStr">
        <is>
          <t>Honda</t>
        </is>
      </c>
      <c r="C143" s="203" t="inlineStr">
        <is>
          <t>BR-V</t>
        </is>
      </c>
      <c r="D143" s="204" t="inlineStr">
        <is>
          <t>V Petrol</t>
        </is>
      </c>
      <c r="E143" s="205" t="inlineStr">
        <is>
          <t>Golden Brown Metallic</t>
        </is>
      </c>
    </row>
    <row r="144" ht="15" customHeight="1">
      <c r="A144" s="201" t="n">
        <v>140</v>
      </c>
      <c r="B144" s="202" t="inlineStr">
        <is>
          <t>Honda</t>
        </is>
      </c>
      <c r="C144" s="203" t="inlineStr">
        <is>
          <t>BR-V</t>
        </is>
      </c>
      <c r="D144" s="204" t="inlineStr">
        <is>
          <t>V Petrol</t>
        </is>
      </c>
      <c r="E144" s="205" t="inlineStr">
        <is>
          <t>Modern Steel Metallic</t>
        </is>
      </c>
    </row>
    <row r="145" ht="15" customHeight="1">
      <c r="A145" s="201" t="n">
        <v>141</v>
      </c>
      <c r="B145" s="202" t="inlineStr">
        <is>
          <t>Honda</t>
        </is>
      </c>
      <c r="C145" s="203" t="inlineStr">
        <is>
          <t>BR-V</t>
        </is>
      </c>
      <c r="D145" s="204" t="inlineStr">
        <is>
          <t>V Petrol</t>
        </is>
      </c>
      <c r="E145" s="205" t="inlineStr">
        <is>
          <t>White Orchid Pearl</t>
        </is>
      </c>
    </row>
    <row r="146" ht="15" customHeight="1">
      <c r="A146" s="201" t="n">
        <v>142</v>
      </c>
      <c r="B146" s="202" t="inlineStr">
        <is>
          <t>Honda</t>
        </is>
      </c>
      <c r="C146" s="203" t="inlineStr">
        <is>
          <t>BR-V</t>
        </is>
      </c>
      <c r="D146" s="204" t="inlineStr">
        <is>
          <t>VX Diesel [2016-2017]</t>
        </is>
      </c>
      <c r="E146" s="205" t="inlineStr">
        <is>
          <t>Alabaster Silver Metallic</t>
        </is>
      </c>
    </row>
    <row r="147" ht="15" customHeight="1">
      <c r="A147" s="201" t="n">
        <v>143</v>
      </c>
      <c r="B147" s="202" t="inlineStr">
        <is>
          <t>Honda</t>
        </is>
      </c>
      <c r="C147" s="203" t="inlineStr">
        <is>
          <t>BR-V</t>
        </is>
      </c>
      <c r="D147" s="204" t="inlineStr">
        <is>
          <t>VX Diesel [2016-2017]</t>
        </is>
      </c>
      <c r="E147" s="205" t="inlineStr">
        <is>
          <t>Carnelian Red Pearl</t>
        </is>
      </c>
    </row>
    <row r="148" ht="15" customHeight="1">
      <c r="A148" s="201" t="n">
        <v>144</v>
      </c>
      <c r="B148" s="202" t="inlineStr">
        <is>
          <t>Honda</t>
        </is>
      </c>
      <c r="C148" s="203" t="inlineStr">
        <is>
          <t>BR-V</t>
        </is>
      </c>
      <c r="D148" s="204" t="inlineStr">
        <is>
          <t>VX Diesel [2016-2017]</t>
        </is>
      </c>
      <c r="E148" s="205" t="inlineStr">
        <is>
          <t>Golden Brown Metallic</t>
        </is>
      </c>
    </row>
    <row r="149" ht="15" customHeight="1">
      <c r="A149" s="201" t="n">
        <v>145</v>
      </c>
      <c r="B149" s="202" t="inlineStr">
        <is>
          <t>Honda</t>
        </is>
      </c>
      <c r="C149" s="203" t="inlineStr">
        <is>
          <t>BR-V</t>
        </is>
      </c>
      <c r="D149" s="204" t="inlineStr">
        <is>
          <t>VX Diesel [2016-2017]</t>
        </is>
      </c>
      <c r="E149" s="205" t="inlineStr">
        <is>
          <t>Modern Steel Metallic</t>
        </is>
      </c>
    </row>
    <row r="150" ht="15" customHeight="1">
      <c r="A150" s="201" t="n">
        <v>146</v>
      </c>
      <c r="B150" s="202" t="inlineStr">
        <is>
          <t>Honda</t>
        </is>
      </c>
      <c r="C150" s="203" t="inlineStr">
        <is>
          <t>BR-V</t>
        </is>
      </c>
      <c r="D150" s="204" t="inlineStr">
        <is>
          <t>VX Diesel [2016-2017]</t>
        </is>
      </c>
      <c r="E150" s="205" t="inlineStr">
        <is>
          <t>White Orchid Pearl</t>
        </is>
      </c>
    </row>
    <row r="151" ht="15" customHeight="1">
      <c r="A151" s="201" t="n">
        <v>147</v>
      </c>
      <c r="B151" s="202" t="inlineStr">
        <is>
          <t>Honda</t>
        </is>
      </c>
      <c r="C151" s="203" t="inlineStr">
        <is>
          <t>BR-V</t>
        </is>
      </c>
      <c r="D151" s="204" t="inlineStr">
        <is>
          <t>VX Petrol</t>
        </is>
      </c>
      <c r="E151" s="205" t="inlineStr">
        <is>
          <t>Alabaster Silver Metallic</t>
        </is>
      </c>
    </row>
    <row r="152" ht="15" customHeight="1">
      <c r="A152" s="201" t="n">
        <v>148</v>
      </c>
      <c r="B152" s="202" t="inlineStr">
        <is>
          <t>Honda</t>
        </is>
      </c>
      <c r="C152" s="203" t="inlineStr">
        <is>
          <t>BR-V</t>
        </is>
      </c>
      <c r="D152" s="204" t="inlineStr">
        <is>
          <t>VX Petrol</t>
        </is>
      </c>
      <c r="E152" s="205" t="inlineStr">
        <is>
          <t>Carnelian Red Pearl</t>
        </is>
      </c>
    </row>
    <row r="153" ht="15" customHeight="1">
      <c r="A153" s="201" t="n">
        <v>149</v>
      </c>
      <c r="B153" s="202" t="inlineStr">
        <is>
          <t>Honda</t>
        </is>
      </c>
      <c r="C153" s="203" t="inlineStr">
        <is>
          <t>BR-V</t>
        </is>
      </c>
      <c r="D153" s="204" t="inlineStr">
        <is>
          <t>VX Petrol</t>
        </is>
      </c>
      <c r="E153" s="205" t="inlineStr">
        <is>
          <t>Golden Brown Metallic</t>
        </is>
      </c>
    </row>
    <row r="154" ht="15" customHeight="1">
      <c r="A154" s="201" t="n">
        <v>150</v>
      </c>
      <c r="B154" s="202" t="inlineStr">
        <is>
          <t>Honda</t>
        </is>
      </c>
      <c r="C154" s="203" t="inlineStr">
        <is>
          <t>BR-V</t>
        </is>
      </c>
      <c r="D154" s="204" t="inlineStr">
        <is>
          <t>VX Petrol</t>
        </is>
      </c>
      <c r="E154" s="205" t="inlineStr">
        <is>
          <t>Modern Steel Metallic</t>
        </is>
      </c>
    </row>
    <row r="155" ht="15" customHeight="1">
      <c r="A155" s="201" t="n">
        <v>151</v>
      </c>
      <c r="B155" s="202" t="inlineStr">
        <is>
          <t>Honda</t>
        </is>
      </c>
      <c r="C155" s="203" t="inlineStr">
        <is>
          <t>BR-V</t>
        </is>
      </c>
      <c r="D155" s="204" t="inlineStr">
        <is>
          <t>VX Petrol</t>
        </is>
      </c>
      <c r="E155" s="205" t="inlineStr">
        <is>
          <t>White Orchid Pearl</t>
        </is>
      </c>
    </row>
    <row r="156" ht="15" customHeight="1">
      <c r="A156" s="201" t="n">
        <v>152</v>
      </c>
      <c r="B156" s="202" t="inlineStr">
        <is>
          <t>Honda</t>
        </is>
      </c>
      <c r="C156" s="203" t="inlineStr">
        <is>
          <t>City</t>
        </is>
      </c>
      <c r="D156" s="204" t="inlineStr">
        <is>
          <t>City SV  Petrol  Manual</t>
        </is>
      </c>
      <c r="E156" s="205" t="inlineStr">
        <is>
          <t>Golden Brown Metallic</t>
        </is>
      </c>
    </row>
    <row r="157" ht="15" customHeight="1">
      <c r="A157" s="201" t="n">
        <v>153</v>
      </c>
      <c r="B157" s="202" t="inlineStr">
        <is>
          <t>Honda</t>
        </is>
      </c>
      <c r="C157" s="203" t="inlineStr">
        <is>
          <t>City</t>
        </is>
      </c>
      <c r="D157" s="204" t="inlineStr">
        <is>
          <t>City SV  Petrol  Manual</t>
        </is>
      </c>
      <c r="E157" s="205" t="inlineStr">
        <is>
          <t>Lunar Silver Metallic</t>
        </is>
      </c>
    </row>
    <row r="158" ht="15" customHeight="1">
      <c r="A158" s="201" t="n">
        <v>154</v>
      </c>
      <c r="B158" s="202" t="inlineStr">
        <is>
          <t>Honda</t>
        </is>
      </c>
      <c r="C158" s="203" t="inlineStr">
        <is>
          <t>City</t>
        </is>
      </c>
      <c r="D158" s="204" t="inlineStr">
        <is>
          <t>City SV  Petrol  Manual</t>
        </is>
      </c>
      <c r="E158" s="205" t="inlineStr">
        <is>
          <t>Meteoroid Grey Metallic</t>
        </is>
      </c>
    </row>
    <row r="159" ht="15" customHeight="1">
      <c r="A159" s="201" t="n">
        <v>155</v>
      </c>
      <c r="B159" s="202" t="inlineStr">
        <is>
          <t>Honda</t>
        </is>
      </c>
      <c r="C159" s="203" t="inlineStr">
        <is>
          <t>City</t>
        </is>
      </c>
      <c r="D159" s="204" t="inlineStr">
        <is>
          <t>City SV  Petrol  Manual</t>
        </is>
      </c>
      <c r="E159" s="205" t="inlineStr">
        <is>
          <t>Platinum White Pearl</t>
        </is>
      </c>
    </row>
    <row r="160" ht="15" customHeight="1">
      <c r="A160" s="201" t="n">
        <v>156</v>
      </c>
      <c r="B160" s="202" t="inlineStr">
        <is>
          <t>Honda</t>
        </is>
      </c>
      <c r="C160" s="203" t="inlineStr">
        <is>
          <t>City</t>
        </is>
      </c>
      <c r="D160" s="204" t="inlineStr">
        <is>
          <t>City V  Petrol  Manual</t>
        </is>
      </c>
      <c r="E160" s="205" t="inlineStr">
        <is>
          <t>Golden Brown Metallic</t>
        </is>
      </c>
    </row>
    <row r="161" ht="15" customHeight="1">
      <c r="A161" s="201" t="n">
        <v>157</v>
      </c>
      <c r="B161" s="202" t="inlineStr">
        <is>
          <t>Honda</t>
        </is>
      </c>
      <c r="C161" s="203" t="inlineStr">
        <is>
          <t>City</t>
        </is>
      </c>
      <c r="D161" s="204" t="inlineStr">
        <is>
          <t>City V  Petrol  Manual</t>
        </is>
      </c>
      <c r="E161" s="205" t="inlineStr">
        <is>
          <t>Lunar Silver Metallic</t>
        </is>
      </c>
    </row>
    <row r="162" ht="15" customHeight="1">
      <c r="A162" s="201" t="n">
        <v>158</v>
      </c>
      <c r="B162" s="202" t="inlineStr">
        <is>
          <t>Honda</t>
        </is>
      </c>
      <c r="C162" s="203" t="inlineStr">
        <is>
          <t>City</t>
        </is>
      </c>
      <c r="D162" s="204" t="inlineStr">
        <is>
          <t>City V  Petrol  Manual</t>
        </is>
      </c>
      <c r="E162" s="205" t="inlineStr">
        <is>
          <t>Meteoroid Grey Metallic</t>
        </is>
      </c>
    </row>
    <row r="163" ht="15" customHeight="1">
      <c r="A163" s="201" t="n">
        <v>159</v>
      </c>
      <c r="B163" s="202" t="inlineStr">
        <is>
          <t>Honda</t>
        </is>
      </c>
      <c r="C163" s="203" t="inlineStr">
        <is>
          <t>City</t>
        </is>
      </c>
      <c r="D163" s="204" t="inlineStr">
        <is>
          <t>City V  Petrol  Manual</t>
        </is>
      </c>
      <c r="E163" s="205" t="inlineStr">
        <is>
          <t>Obsidian Blue Pearl</t>
        </is>
      </c>
    </row>
    <row r="164" ht="15" customHeight="1">
      <c r="A164" s="201" t="n">
        <v>160</v>
      </c>
      <c r="B164" s="202" t="inlineStr">
        <is>
          <t>Honda</t>
        </is>
      </c>
      <c r="C164" s="203" t="inlineStr">
        <is>
          <t>City</t>
        </is>
      </c>
      <c r="D164" s="204" t="inlineStr">
        <is>
          <t>City V  Petrol  Manual</t>
        </is>
      </c>
      <c r="E164" s="205" t="inlineStr">
        <is>
          <t>Platinum White Pearl</t>
        </is>
      </c>
    </row>
    <row r="165" ht="15" customHeight="1">
      <c r="A165" s="201" t="n">
        <v>161</v>
      </c>
      <c r="B165" s="202" t="inlineStr">
        <is>
          <t>Honda</t>
        </is>
      </c>
      <c r="C165" s="203" t="inlineStr">
        <is>
          <t>City</t>
        </is>
      </c>
      <c r="D165" s="204" t="inlineStr">
        <is>
          <t>City V  Petrol  Manual</t>
        </is>
      </c>
      <c r="E165" s="205" t="inlineStr">
        <is>
          <t>Radiant Red Metallic</t>
        </is>
      </c>
    </row>
    <row r="166" ht="15" customHeight="1">
      <c r="A166" s="201" t="n">
        <v>162</v>
      </c>
      <c r="B166" s="202" t="inlineStr">
        <is>
          <t>Honda</t>
        </is>
      </c>
      <c r="C166" s="203" t="inlineStr">
        <is>
          <t>City</t>
        </is>
      </c>
      <c r="D166" s="204" t="inlineStr">
        <is>
          <t>City VX  Petrol  Manual</t>
        </is>
      </c>
      <c r="E166" s="205" t="inlineStr">
        <is>
          <t>Golden Brown Metallic</t>
        </is>
      </c>
    </row>
    <row r="167" ht="15" customHeight="1">
      <c r="A167" s="201" t="n">
        <v>163</v>
      </c>
      <c r="B167" s="202" t="inlineStr">
        <is>
          <t>Honda</t>
        </is>
      </c>
      <c r="C167" s="203" t="inlineStr">
        <is>
          <t>City</t>
        </is>
      </c>
      <c r="D167" s="204" t="inlineStr">
        <is>
          <t>City VX  Petrol  Manual</t>
        </is>
      </c>
      <c r="E167" s="205" t="inlineStr">
        <is>
          <t>Lunar Silver Metallic</t>
        </is>
      </c>
    </row>
    <row r="168" ht="15" customHeight="1">
      <c r="A168" s="201" t="n">
        <v>164</v>
      </c>
      <c r="B168" s="202" t="inlineStr">
        <is>
          <t>Honda</t>
        </is>
      </c>
      <c r="C168" s="203" t="inlineStr">
        <is>
          <t>City</t>
        </is>
      </c>
      <c r="D168" s="204" t="inlineStr">
        <is>
          <t>City VX  Petrol  Manual</t>
        </is>
      </c>
      <c r="E168" s="205" t="inlineStr">
        <is>
          <t>Meteoroid Grey Metallic</t>
        </is>
      </c>
    </row>
    <row r="169" ht="15" customHeight="1">
      <c r="A169" s="201" t="n">
        <v>165</v>
      </c>
      <c r="B169" s="202" t="inlineStr">
        <is>
          <t>Honda</t>
        </is>
      </c>
      <c r="C169" s="203" t="inlineStr">
        <is>
          <t>City</t>
        </is>
      </c>
      <c r="D169" s="204" t="inlineStr">
        <is>
          <t>City VX  Petrol  Manual</t>
        </is>
      </c>
      <c r="E169" s="205" t="inlineStr">
        <is>
          <t>Obsidian Blue Pearl</t>
        </is>
      </c>
    </row>
    <row r="170" ht="15" customHeight="1">
      <c r="A170" s="201" t="n">
        <v>166</v>
      </c>
      <c r="B170" s="202" t="inlineStr">
        <is>
          <t>Honda</t>
        </is>
      </c>
      <c r="C170" s="203" t="inlineStr">
        <is>
          <t>City</t>
        </is>
      </c>
      <c r="D170" s="204" t="inlineStr">
        <is>
          <t>City VX  Petrol  Manual</t>
        </is>
      </c>
      <c r="E170" s="205" t="inlineStr">
        <is>
          <t>Platinum White Pearl</t>
        </is>
      </c>
    </row>
    <row r="171" ht="15" customHeight="1">
      <c r="A171" s="201" t="n">
        <v>167</v>
      </c>
      <c r="B171" s="202" t="inlineStr">
        <is>
          <t>Honda</t>
        </is>
      </c>
      <c r="C171" s="203" t="inlineStr">
        <is>
          <t>City</t>
        </is>
      </c>
      <c r="D171" s="204" t="inlineStr">
        <is>
          <t>City VX  Petrol  Manual</t>
        </is>
      </c>
      <c r="E171" s="205" t="inlineStr">
        <is>
          <t>Radiant Red Metallic</t>
        </is>
      </c>
    </row>
    <row r="172" ht="15" customHeight="1">
      <c r="A172" s="201" t="n">
        <v>168</v>
      </c>
      <c r="B172" s="202" t="inlineStr">
        <is>
          <t>Honda</t>
        </is>
      </c>
      <c r="C172" s="203" t="inlineStr">
        <is>
          <t>City</t>
        </is>
      </c>
      <c r="D172" s="204" t="inlineStr">
        <is>
          <t>City ZX  Petrol  Manual</t>
        </is>
      </c>
      <c r="E172" s="205" t="inlineStr">
        <is>
          <t>Golden Brown Metallic</t>
        </is>
      </c>
    </row>
    <row r="173" ht="15" customHeight="1">
      <c r="A173" s="201" t="n">
        <v>169</v>
      </c>
      <c r="B173" s="202" t="inlineStr">
        <is>
          <t>Honda</t>
        </is>
      </c>
      <c r="C173" s="203" t="inlineStr">
        <is>
          <t>City</t>
        </is>
      </c>
      <c r="D173" s="204" t="inlineStr">
        <is>
          <t>City ZX  Petrol  Manual</t>
        </is>
      </c>
      <c r="E173" s="205" t="inlineStr">
        <is>
          <t>Lunar Silver Metallic</t>
        </is>
      </c>
    </row>
    <row r="174" ht="15" customHeight="1">
      <c r="A174" s="201" t="n">
        <v>170</v>
      </c>
      <c r="B174" s="202" t="inlineStr">
        <is>
          <t>Honda</t>
        </is>
      </c>
      <c r="C174" s="203" t="inlineStr">
        <is>
          <t>City</t>
        </is>
      </c>
      <c r="D174" s="204" t="inlineStr">
        <is>
          <t>City ZX  Petrol  Manual</t>
        </is>
      </c>
      <c r="E174" s="205" t="inlineStr">
        <is>
          <t>Meteoroid Grey Metallic</t>
        </is>
      </c>
    </row>
    <row r="175" ht="15" customHeight="1">
      <c r="A175" s="201" t="n">
        <v>171</v>
      </c>
      <c r="B175" s="202" t="inlineStr">
        <is>
          <t>Honda</t>
        </is>
      </c>
      <c r="C175" s="203" t="inlineStr">
        <is>
          <t>City</t>
        </is>
      </c>
      <c r="D175" s="204" t="inlineStr">
        <is>
          <t>City ZX  Petrol  Manual</t>
        </is>
      </c>
      <c r="E175" s="205" t="inlineStr">
        <is>
          <t>Obsidian Blue Pearl</t>
        </is>
      </c>
    </row>
    <row r="176" ht="15" customHeight="1">
      <c r="A176" s="201" t="n">
        <v>172</v>
      </c>
      <c r="B176" s="202" t="inlineStr">
        <is>
          <t>Honda</t>
        </is>
      </c>
      <c r="C176" s="203" t="inlineStr">
        <is>
          <t>City</t>
        </is>
      </c>
      <c r="D176" s="204" t="inlineStr">
        <is>
          <t>City ZX  Petrol  Manual</t>
        </is>
      </c>
      <c r="E176" s="205" t="inlineStr">
        <is>
          <t>Platinum White Pearl</t>
        </is>
      </c>
    </row>
    <row r="177" ht="15" customHeight="1">
      <c r="A177" s="201" t="n">
        <v>173</v>
      </c>
      <c r="B177" s="202" t="inlineStr">
        <is>
          <t>Honda</t>
        </is>
      </c>
      <c r="C177" s="203" t="inlineStr">
        <is>
          <t>City</t>
        </is>
      </c>
      <c r="D177" s="204" t="inlineStr">
        <is>
          <t>City ZX  Petrol  Manual</t>
        </is>
      </c>
      <c r="E177" s="205" t="inlineStr">
        <is>
          <t>Radiant Red Metallic</t>
        </is>
      </c>
    </row>
    <row r="178" ht="15" customHeight="1">
      <c r="A178" s="201" t="n">
        <v>174</v>
      </c>
      <c r="B178" s="202" t="inlineStr">
        <is>
          <t>Honda</t>
        </is>
      </c>
      <c r="C178" s="203" t="inlineStr">
        <is>
          <t>Elevate</t>
        </is>
      </c>
      <c r="D178" s="204" t="inlineStr">
        <is>
          <t>Elevate SV  Petrol  Manual</t>
        </is>
      </c>
      <c r="E178" s="205" t="inlineStr">
        <is>
          <t>Lunar Silver Metallic</t>
        </is>
      </c>
    </row>
    <row r="179" ht="15" customHeight="1">
      <c r="A179" s="201" t="n">
        <v>175</v>
      </c>
      <c r="B179" s="202" t="inlineStr">
        <is>
          <t>Honda</t>
        </is>
      </c>
      <c r="C179" s="203" t="inlineStr">
        <is>
          <t>Elevate</t>
        </is>
      </c>
      <c r="D179" s="204" t="inlineStr">
        <is>
          <t>Elevate SV  Petrol  Manual</t>
        </is>
      </c>
      <c r="E179" s="205" t="inlineStr">
        <is>
          <t>Platinum White Pearl</t>
        </is>
      </c>
    </row>
    <row r="180" ht="15" customHeight="1">
      <c r="A180" s="201" t="n">
        <v>176</v>
      </c>
      <c r="B180" s="202" t="inlineStr">
        <is>
          <t>Honda</t>
        </is>
      </c>
      <c r="C180" s="203" t="inlineStr">
        <is>
          <t>Elevate</t>
        </is>
      </c>
      <c r="D180" s="204" t="inlineStr">
        <is>
          <t>Elevate V  Petrol  Manual</t>
        </is>
      </c>
      <c r="E180" s="205" t="inlineStr">
        <is>
          <t>Golden Brown Metallic</t>
        </is>
      </c>
    </row>
    <row r="181" ht="15" customHeight="1">
      <c r="A181" s="201" t="n">
        <v>177</v>
      </c>
      <c r="B181" s="202" t="inlineStr">
        <is>
          <t>Honda</t>
        </is>
      </c>
      <c r="C181" s="203" t="inlineStr">
        <is>
          <t>Elevate</t>
        </is>
      </c>
      <c r="D181" s="204" t="inlineStr">
        <is>
          <t>Elevate V  Petrol  Manual</t>
        </is>
      </c>
      <c r="E181" s="205" t="inlineStr">
        <is>
          <t>Lunar Silver Metallic</t>
        </is>
      </c>
    </row>
    <row r="182" ht="15" customHeight="1">
      <c r="A182" s="201" t="n">
        <v>178</v>
      </c>
      <c r="B182" s="202" t="inlineStr">
        <is>
          <t>Honda</t>
        </is>
      </c>
      <c r="C182" s="203" t="inlineStr">
        <is>
          <t>Elevate</t>
        </is>
      </c>
      <c r="D182" s="204" t="inlineStr">
        <is>
          <t>Elevate V  Petrol  Manual</t>
        </is>
      </c>
      <c r="E182" s="205" t="inlineStr">
        <is>
          <t>Meteoroid Grey Metallic</t>
        </is>
      </c>
    </row>
    <row r="183" ht="15" customHeight="1">
      <c r="A183" s="201" t="n">
        <v>179</v>
      </c>
      <c r="B183" s="202" t="inlineStr">
        <is>
          <t>Honda</t>
        </is>
      </c>
      <c r="C183" s="203" t="inlineStr">
        <is>
          <t>Elevate</t>
        </is>
      </c>
      <c r="D183" s="204" t="inlineStr">
        <is>
          <t>Elevate V  Petrol  Manual</t>
        </is>
      </c>
      <c r="E183" s="205" t="inlineStr">
        <is>
          <t>Obsidian Blue Pearl</t>
        </is>
      </c>
    </row>
    <row r="184" ht="15" customHeight="1">
      <c r="A184" s="201" t="n">
        <v>180</v>
      </c>
      <c r="B184" s="202" t="inlineStr">
        <is>
          <t>Honda</t>
        </is>
      </c>
      <c r="C184" s="203" t="inlineStr">
        <is>
          <t>Elevate</t>
        </is>
      </c>
      <c r="D184" s="204" t="inlineStr">
        <is>
          <t>Elevate V  Petrol  Manual</t>
        </is>
      </c>
      <c r="E184" s="205" t="inlineStr">
        <is>
          <t>Platinum White Pearl</t>
        </is>
      </c>
    </row>
    <row r="185" ht="15" customHeight="1">
      <c r="A185" s="201" t="n">
        <v>181</v>
      </c>
      <c r="B185" s="202" t="inlineStr">
        <is>
          <t>Honda</t>
        </is>
      </c>
      <c r="C185" s="203" t="inlineStr">
        <is>
          <t>Elevate</t>
        </is>
      </c>
      <c r="D185" s="204" t="inlineStr">
        <is>
          <t>Elevate V  Petrol  Manual</t>
        </is>
      </c>
      <c r="E185" s="205" t="inlineStr">
        <is>
          <t>Radiant Red Metallic</t>
        </is>
      </c>
    </row>
    <row r="186" ht="15" customHeight="1">
      <c r="A186" s="201" t="n">
        <v>182</v>
      </c>
      <c r="B186" s="202" t="inlineStr">
        <is>
          <t>Honda</t>
        </is>
      </c>
      <c r="C186" s="203" t="inlineStr">
        <is>
          <t>Elevate</t>
        </is>
      </c>
      <c r="D186" s="204" t="inlineStr">
        <is>
          <t>Elevate VX  Petrol  Manual</t>
        </is>
      </c>
      <c r="E186" s="205" t="inlineStr">
        <is>
          <t>Golden Brown Metallic</t>
        </is>
      </c>
    </row>
    <row r="187" ht="15" customHeight="1">
      <c r="A187" s="201" t="n">
        <v>183</v>
      </c>
      <c r="B187" s="202" t="inlineStr">
        <is>
          <t>Honda</t>
        </is>
      </c>
      <c r="C187" s="203" t="inlineStr">
        <is>
          <t>Elevate</t>
        </is>
      </c>
      <c r="D187" s="204" t="inlineStr">
        <is>
          <t>Elevate VX  Petrol  Manual</t>
        </is>
      </c>
      <c r="E187" s="205" t="inlineStr">
        <is>
          <t>Lunar Silver Metallic</t>
        </is>
      </c>
    </row>
    <row r="188" ht="15" customHeight="1">
      <c r="A188" s="201" t="n">
        <v>184</v>
      </c>
      <c r="B188" s="202" t="inlineStr">
        <is>
          <t>Honda</t>
        </is>
      </c>
      <c r="C188" s="203" t="inlineStr">
        <is>
          <t>Elevate</t>
        </is>
      </c>
      <c r="D188" s="204" t="inlineStr">
        <is>
          <t>Elevate VX  Petrol  Manual</t>
        </is>
      </c>
      <c r="E188" s="205" t="inlineStr">
        <is>
          <t>Meteoroid Grey Metallic</t>
        </is>
      </c>
    </row>
    <row r="189" ht="15" customHeight="1">
      <c r="A189" s="201" t="n">
        <v>185</v>
      </c>
      <c r="B189" s="202" t="inlineStr">
        <is>
          <t>Honda</t>
        </is>
      </c>
      <c r="C189" s="203" t="inlineStr">
        <is>
          <t>Elevate</t>
        </is>
      </c>
      <c r="D189" s="204" t="inlineStr">
        <is>
          <t>Elevate VX  Petrol  Manual</t>
        </is>
      </c>
      <c r="E189" s="205" t="inlineStr">
        <is>
          <t>Obsidian Blue Pearl</t>
        </is>
      </c>
    </row>
    <row r="190" ht="15" customHeight="1">
      <c r="A190" s="201" t="n">
        <v>186</v>
      </c>
      <c r="B190" s="202" t="inlineStr">
        <is>
          <t>Honda</t>
        </is>
      </c>
      <c r="C190" s="203" t="inlineStr">
        <is>
          <t>Elevate</t>
        </is>
      </c>
      <c r="D190" s="204" t="inlineStr">
        <is>
          <t>Elevate VX  Petrol  Manual</t>
        </is>
      </c>
      <c r="E190" s="205" t="inlineStr">
        <is>
          <t>Platinum White Pearl</t>
        </is>
      </c>
    </row>
    <row r="191" ht="15" customHeight="1">
      <c r="A191" s="201" t="n">
        <v>187</v>
      </c>
      <c r="B191" s="202" t="inlineStr">
        <is>
          <t>Honda</t>
        </is>
      </c>
      <c r="C191" s="203" t="inlineStr">
        <is>
          <t>Elevate</t>
        </is>
      </c>
      <c r="D191" s="204" t="inlineStr">
        <is>
          <t>Elevate VX  Petrol  Manual</t>
        </is>
      </c>
      <c r="E191" s="205" t="inlineStr">
        <is>
          <t>Radiant Red Metallic</t>
        </is>
      </c>
    </row>
    <row r="192" ht="15" customHeight="1">
      <c r="A192" s="201" t="n">
        <v>188</v>
      </c>
      <c r="B192" s="202" t="inlineStr">
        <is>
          <t>Honda</t>
        </is>
      </c>
      <c r="C192" s="203" t="inlineStr">
        <is>
          <t>Elevate</t>
        </is>
      </c>
      <c r="D192" s="204" t="inlineStr">
        <is>
          <t>Elevate ZX  Petrol  Automatic  Dual Tone  ADV Edition</t>
        </is>
      </c>
      <c r="E192" s="205" t="inlineStr">
        <is>
          <t>Platinum White Pearl with Crystal Black Pearl roof</t>
        </is>
      </c>
    </row>
    <row r="193" ht="15" customHeight="1">
      <c r="A193" s="201" t="n">
        <v>189</v>
      </c>
      <c r="B193" s="202" t="inlineStr">
        <is>
          <t>Honda</t>
        </is>
      </c>
      <c r="C193" s="203" t="inlineStr">
        <is>
          <t>Elevate</t>
        </is>
      </c>
      <c r="D193" s="204" t="inlineStr">
        <is>
          <t>Elevate ZX  Petrol  Automatic  Dual Tone  ADV Edition</t>
        </is>
      </c>
      <c r="E193" s="205" t="inlineStr">
        <is>
          <t>Radiant Red Metallic with Crystal Black Pearl roof</t>
        </is>
      </c>
    </row>
    <row r="194" ht="15" customHeight="1">
      <c r="A194" s="201" t="n">
        <v>190</v>
      </c>
      <c r="B194" s="202" t="inlineStr">
        <is>
          <t>Honda</t>
        </is>
      </c>
      <c r="C194" s="203" t="inlineStr">
        <is>
          <t>Elevate</t>
        </is>
      </c>
      <c r="D194" s="204" t="inlineStr">
        <is>
          <t>Elevate ZX  Petrol  Manual</t>
        </is>
      </c>
      <c r="E194" s="205" t="inlineStr">
        <is>
          <t>Golden Brown Metallic</t>
        </is>
      </c>
    </row>
    <row r="195" ht="15" customHeight="1">
      <c r="A195" s="201" t="n">
        <v>191</v>
      </c>
      <c r="B195" s="202" t="inlineStr">
        <is>
          <t>Honda</t>
        </is>
      </c>
      <c r="C195" s="203" t="inlineStr">
        <is>
          <t>Elevate</t>
        </is>
      </c>
      <c r="D195" s="204" t="inlineStr">
        <is>
          <t>Elevate ZX  Petrol  Manual</t>
        </is>
      </c>
      <c r="E195" s="205" t="inlineStr">
        <is>
          <t>Lunar Silver Metallic</t>
        </is>
      </c>
    </row>
    <row r="196" ht="15" customHeight="1">
      <c r="A196" s="201" t="n">
        <v>192</v>
      </c>
      <c r="B196" s="202" t="inlineStr">
        <is>
          <t>Honda</t>
        </is>
      </c>
      <c r="C196" s="203" t="inlineStr">
        <is>
          <t>Elevate</t>
        </is>
      </c>
      <c r="D196" s="204" t="inlineStr">
        <is>
          <t>Elevate ZX  Petrol  Manual</t>
        </is>
      </c>
      <c r="E196" s="205" t="inlineStr">
        <is>
          <t>Meteoroid Grey Metallic</t>
        </is>
      </c>
    </row>
    <row r="197" ht="15" customHeight="1">
      <c r="A197" s="201" t="n">
        <v>193</v>
      </c>
      <c r="B197" s="202" t="inlineStr">
        <is>
          <t>Honda</t>
        </is>
      </c>
      <c r="C197" s="203" t="inlineStr">
        <is>
          <t>Elevate</t>
        </is>
      </c>
      <c r="D197" s="204" t="inlineStr">
        <is>
          <t>Elevate ZX  Petrol  Manual</t>
        </is>
      </c>
      <c r="E197" s="205" t="inlineStr">
        <is>
          <t>Obsidian Blue Pearl</t>
        </is>
      </c>
    </row>
    <row r="198" ht="15" customHeight="1">
      <c r="A198" s="201" t="n">
        <v>194</v>
      </c>
      <c r="B198" s="202" t="inlineStr">
        <is>
          <t>Honda</t>
        </is>
      </c>
      <c r="C198" s="203" t="inlineStr">
        <is>
          <t>Elevate</t>
        </is>
      </c>
      <c r="D198" s="204" t="inlineStr">
        <is>
          <t>Elevate ZX  Petrol  Manual</t>
        </is>
      </c>
      <c r="E198" s="205" t="inlineStr">
        <is>
          <t>Platinum White Pearl</t>
        </is>
      </c>
    </row>
    <row r="199" ht="15" customHeight="1">
      <c r="A199" s="201" t="n">
        <v>195</v>
      </c>
      <c r="B199" s="202" t="inlineStr">
        <is>
          <t>Honda</t>
        </is>
      </c>
      <c r="C199" s="203" t="inlineStr">
        <is>
          <t>Elevate</t>
        </is>
      </c>
      <c r="D199" s="204" t="inlineStr">
        <is>
          <t>Elevate ZX  Petrol  Manual</t>
        </is>
      </c>
      <c r="E199" s="205" t="inlineStr">
        <is>
          <t>Radiant Red Metallic</t>
        </is>
      </c>
    </row>
    <row r="200" ht="15" customHeight="1">
      <c r="A200" s="201" t="n">
        <v>196</v>
      </c>
      <c r="B200" s="202" t="inlineStr">
        <is>
          <t>Honda</t>
        </is>
      </c>
      <c r="C200" s="203" t="inlineStr">
        <is>
          <t>Elevate</t>
        </is>
      </c>
      <c r="D200" s="204" t="inlineStr">
        <is>
          <t>Elevate ZX Petrol Automatic Black Edition</t>
        </is>
      </c>
      <c r="E200" s="205" t="inlineStr">
        <is>
          <t>Crystal Black Pearl</t>
        </is>
      </c>
    </row>
    <row r="201" ht="15" customHeight="1">
      <c r="A201" s="201" t="n">
        <v>197</v>
      </c>
      <c r="B201" s="202" t="inlineStr">
        <is>
          <t>Honda</t>
        </is>
      </c>
      <c r="C201" s="203" t="inlineStr">
        <is>
          <t>Jazz</t>
        </is>
      </c>
      <c r="D201" s="204" t="inlineStr">
        <is>
          <t>V</t>
        </is>
      </c>
      <c r="E201" s="205" t="inlineStr">
        <is>
          <t>Golden Brown Metallic</t>
        </is>
      </c>
    </row>
    <row r="202" ht="15" customHeight="1">
      <c r="A202" s="201" t="n">
        <v>198</v>
      </c>
      <c r="B202" s="202" t="inlineStr">
        <is>
          <t>Honda</t>
        </is>
      </c>
      <c r="C202" s="203" t="inlineStr">
        <is>
          <t>Jazz</t>
        </is>
      </c>
      <c r="D202" s="204" t="inlineStr">
        <is>
          <t>V</t>
        </is>
      </c>
      <c r="E202" s="205" t="inlineStr">
        <is>
          <t>Lunar Silver Metallic</t>
        </is>
      </c>
    </row>
    <row r="203" ht="15" customHeight="1">
      <c r="A203" s="201" t="n">
        <v>199</v>
      </c>
      <c r="B203" s="202" t="inlineStr">
        <is>
          <t>Honda</t>
        </is>
      </c>
      <c r="C203" s="203" t="inlineStr">
        <is>
          <t>Jazz</t>
        </is>
      </c>
      <c r="D203" s="204" t="inlineStr">
        <is>
          <t>V</t>
        </is>
      </c>
      <c r="E203" s="205" t="inlineStr">
        <is>
          <t>Platinum White Pearl</t>
        </is>
      </c>
    </row>
    <row r="204" ht="15" customHeight="1">
      <c r="A204" s="201" t="n">
        <v>200</v>
      </c>
      <c r="B204" s="202" t="inlineStr">
        <is>
          <t>Honda</t>
        </is>
      </c>
      <c r="C204" s="203" t="inlineStr">
        <is>
          <t>Jazz</t>
        </is>
      </c>
      <c r="D204" s="204" t="inlineStr">
        <is>
          <t>V</t>
        </is>
      </c>
      <c r="E204" s="205" t="inlineStr">
        <is>
          <t>Radiant Red Metallic</t>
        </is>
      </c>
    </row>
    <row r="205" ht="15" customHeight="1">
      <c r="A205" s="201" t="n">
        <v>201</v>
      </c>
      <c r="B205" s="202" t="inlineStr">
        <is>
          <t>Honda</t>
        </is>
      </c>
      <c r="C205" s="203" t="inlineStr">
        <is>
          <t>Jazz</t>
        </is>
      </c>
      <c r="D205" s="204" t="inlineStr">
        <is>
          <t>V CVT</t>
        </is>
      </c>
      <c r="E205" s="205" t="inlineStr">
        <is>
          <t>Golden Brown Metallic</t>
        </is>
      </c>
    </row>
    <row r="206" ht="15" customHeight="1">
      <c r="A206" s="201" t="n">
        <v>202</v>
      </c>
      <c r="B206" s="202" t="inlineStr">
        <is>
          <t>Honda</t>
        </is>
      </c>
      <c r="C206" s="203" t="inlineStr">
        <is>
          <t>Jazz</t>
        </is>
      </c>
      <c r="D206" s="204" t="inlineStr">
        <is>
          <t>V CVT</t>
        </is>
      </c>
      <c r="E206" s="205" t="inlineStr">
        <is>
          <t>Lunar Silver Metallic</t>
        </is>
      </c>
    </row>
    <row r="207" ht="15" customHeight="1">
      <c r="A207" s="201" t="n">
        <v>203</v>
      </c>
      <c r="B207" s="202" t="inlineStr">
        <is>
          <t>Honda</t>
        </is>
      </c>
      <c r="C207" s="203" t="inlineStr">
        <is>
          <t>Jazz</t>
        </is>
      </c>
      <c r="D207" s="204" t="inlineStr">
        <is>
          <t>V CVT</t>
        </is>
      </c>
      <c r="E207" s="205" t="inlineStr">
        <is>
          <t>Platinum White Pearl</t>
        </is>
      </c>
    </row>
    <row r="208" ht="15" customHeight="1">
      <c r="A208" s="201" t="n">
        <v>204</v>
      </c>
      <c r="B208" s="202" t="inlineStr">
        <is>
          <t>Honda</t>
        </is>
      </c>
      <c r="C208" s="203" t="inlineStr">
        <is>
          <t>Jazz</t>
        </is>
      </c>
      <c r="D208" s="204" t="inlineStr">
        <is>
          <t>V CVT</t>
        </is>
      </c>
      <c r="E208" s="205" t="inlineStr">
        <is>
          <t>Radiant Red Metallic</t>
        </is>
      </c>
    </row>
    <row r="209" ht="15" customHeight="1">
      <c r="A209" s="201" t="n">
        <v>205</v>
      </c>
      <c r="B209" s="202" t="inlineStr">
        <is>
          <t>Honda</t>
        </is>
      </c>
      <c r="C209" s="203" t="inlineStr">
        <is>
          <t>Jazz</t>
        </is>
      </c>
      <c r="D209" s="204" t="inlineStr">
        <is>
          <t>VX</t>
        </is>
      </c>
      <c r="E209" s="205" t="inlineStr">
        <is>
          <t>Golden Brown Metallic</t>
        </is>
      </c>
    </row>
    <row r="210" ht="15" customHeight="1">
      <c r="A210" s="201" t="n">
        <v>206</v>
      </c>
      <c r="B210" s="202" t="inlineStr">
        <is>
          <t>Honda</t>
        </is>
      </c>
      <c r="C210" s="203" t="inlineStr">
        <is>
          <t>Jazz</t>
        </is>
      </c>
      <c r="D210" s="204" t="inlineStr">
        <is>
          <t>VX</t>
        </is>
      </c>
      <c r="E210" s="205" t="inlineStr">
        <is>
          <t>Lunar Silver Metallic</t>
        </is>
      </c>
    </row>
    <row r="211" ht="15" customHeight="1">
      <c r="A211" s="201" t="n">
        <v>207</v>
      </c>
      <c r="B211" s="202" t="inlineStr">
        <is>
          <t>Honda</t>
        </is>
      </c>
      <c r="C211" s="203" t="inlineStr">
        <is>
          <t>Jazz</t>
        </is>
      </c>
      <c r="D211" s="204" t="inlineStr">
        <is>
          <t>VX</t>
        </is>
      </c>
      <c r="E211" s="205" t="inlineStr">
        <is>
          <t>Platinum White Pearl</t>
        </is>
      </c>
    </row>
    <row r="212" ht="15" customHeight="1">
      <c r="A212" s="201" t="n">
        <v>208</v>
      </c>
      <c r="B212" s="202" t="inlineStr">
        <is>
          <t>Honda</t>
        </is>
      </c>
      <c r="C212" s="203" t="inlineStr">
        <is>
          <t>Jazz</t>
        </is>
      </c>
      <c r="D212" s="204" t="inlineStr">
        <is>
          <t>VX</t>
        </is>
      </c>
      <c r="E212" s="205" t="inlineStr">
        <is>
          <t>Radiant Red Metallic</t>
        </is>
      </c>
    </row>
    <row r="213" ht="15" customHeight="1">
      <c r="A213" s="201" t="n">
        <v>209</v>
      </c>
      <c r="B213" s="202" t="inlineStr">
        <is>
          <t>Honda</t>
        </is>
      </c>
      <c r="C213" s="203" t="inlineStr">
        <is>
          <t>Jazz</t>
        </is>
      </c>
      <c r="D213" s="204" t="inlineStr">
        <is>
          <t>ZX</t>
        </is>
      </c>
      <c r="E213" s="205" t="inlineStr">
        <is>
          <t>Golden Brown Metallic</t>
        </is>
      </c>
    </row>
    <row r="214" ht="15" customHeight="1">
      <c r="A214" s="201" t="n">
        <v>210</v>
      </c>
      <c r="B214" s="202" t="inlineStr">
        <is>
          <t>Honda</t>
        </is>
      </c>
      <c r="C214" s="203" t="inlineStr">
        <is>
          <t>Jazz</t>
        </is>
      </c>
      <c r="D214" s="204" t="inlineStr">
        <is>
          <t>ZX</t>
        </is>
      </c>
      <c r="E214" s="205" t="inlineStr">
        <is>
          <t>Lunar Silver Metallic</t>
        </is>
      </c>
    </row>
    <row r="215" ht="15" customHeight="1">
      <c r="A215" s="201" t="n">
        <v>211</v>
      </c>
      <c r="B215" s="202" t="inlineStr">
        <is>
          <t>Honda</t>
        </is>
      </c>
      <c r="C215" s="203" t="inlineStr">
        <is>
          <t>Jazz</t>
        </is>
      </c>
      <c r="D215" s="204" t="inlineStr">
        <is>
          <t>ZX</t>
        </is>
      </c>
      <c r="E215" s="205" t="inlineStr">
        <is>
          <t>Platinum White Pearl</t>
        </is>
      </c>
    </row>
    <row r="216" ht="15" customHeight="1">
      <c r="A216" s="201" t="n">
        <v>212</v>
      </c>
      <c r="B216" s="202" t="inlineStr">
        <is>
          <t>Honda</t>
        </is>
      </c>
      <c r="C216" s="203" t="inlineStr">
        <is>
          <t>Jazz</t>
        </is>
      </c>
      <c r="D216" s="204" t="inlineStr">
        <is>
          <t>ZX</t>
        </is>
      </c>
      <c r="E216" s="205" t="inlineStr">
        <is>
          <t>Radiant Red Metallic</t>
        </is>
      </c>
    </row>
    <row r="217" ht="15" customHeight="1">
      <c r="A217" s="201" t="n">
        <v>213</v>
      </c>
      <c r="B217" s="202" t="inlineStr">
        <is>
          <t>Honda</t>
        </is>
      </c>
      <c r="C217" s="203" t="inlineStr">
        <is>
          <t>WR-V</t>
        </is>
      </c>
      <c r="D217" s="204" t="inlineStr">
        <is>
          <t>Exclusive Edition Diesel</t>
        </is>
      </c>
      <c r="E217" s="205" t="inlineStr">
        <is>
          <t>Golden Brown Metallic</t>
        </is>
      </c>
    </row>
    <row r="218" ht="15" customHeight="1">
      <c r="A218" s="201" t="n">
        <v>214</v>
      </c>
      <c r="B218" s="202" t="inlineStr">
        <is>
          <t>Honda</t>
        </is>
      </c>
      <c r="C218" s="203" t="inlineStr">
        <is>
          <t>WR-V</t>
        </is>
      </c>
      <c r="D218" s="204" t="inlineStr">
        <is>
          <t>Exclusive Edition Diesel</t>
        </is>
      </c>
      <c r="E218" s="205" t="inlineStr">
        <is>
          <t>Lunar Silver Metallic</t>
        </is>
      </c>
    </row>
    <row r="219" ht="15" customHeight="1">
      <c r="A219" s="201" t="n">
        <v>215</v>
      </c>
      <c r="B219" s="202" t="inlineStr">
        <is>
          <t>Honda</t>
        </is>
      </c>
      <c r="C219" s="203" t="inlineStr">
        <is>
          <t>WR-V</t>
        </is>
      </c>
      <c r="D219" s="204" t="inlineStr">
        <is>
          <t>Exclusive Edition Diesel</t>
        </is>
      </c>
      <c r="E219" s="205" t="inlineStr">
        <is>
          <t>Platinum White Pearl</t>
        </is>
      </c>
    </row>
    <row r="220" ht="15" customHeight="1">
      <c r="A220" s="201" t="n">
        <v>216</v>
      </c>
      <c r="B220" s="202" t="inlineStr">
        <is>
          <t>Honda</t>
        </is>
      </c>
      <c r="C220" s="203" t="inlineStr">
        <is>
          <t>WR-V</t>
        </is>
      </c>
      <c r="D220" s="204" t="inlineStr">
        <is>
          <t>Exclusive Edition Diesel</t>
        </is>
      </c>
      <c r="E220" s="205" t="inlineStr">
        <is>
          <t>Radiant Red Metallic</t>
        </is>
      </c>
    </row>
    <row r="221" ht="15" customHeight="1">
      <c r="A221" s="201" t="n">
        <v>217</v>
      </c>
      <c r="B221" s="202" t="inlineStr">
        <is>
          <t>Honda</t>
        </is>
      </c>
      <c r="C221" s="203" t="inlineStr">
        <is>
          <t>WR-V</t>
        </is>
      </c>
      <c r="D221" s="204" t="inlineStr">
        <is>
          <t>Exclusive Edition Petrol</t>
        </is>
      </c>
      <c r="E221" s="205" t="inlineStr">
        <is>
          <t>Golden Brown Metallic</t>
        </is>
      </c>
    </row>
    <row r="222" ht="15" customHeight="1">
      <c r="A222" s="201" t="n">
        <v>218</v>
      </c>
      <c r="B222" s="202" t="inlineStr">
        <is>
          <t>Honda</t>
        </is>
      </c>
      <c r="C222" s="203" t="inlineStr">
        <is>
          <t>WR-V</t>
        </is>
      </c>
      <c r="D222" s="204" t="inlineStr">
        <is>
          <t>Exclusive Edition Petrol</t>
        </is>
      </c>
      <c r="E222" s="205" t="inlineStr">
        <is>
          <t>Lunar Silver Metallic</t>
        </is>
      </c>
    </row>
    <row r="223" ht="15" customHeight="1">
      <c r="A223" s="201" t="n">
        <v>219</v>
      </c>
      <c r="B223" s="202" t="inlineStr">
        <is>
          <t>Honda</t>
        </is>
      </c>
      <c r="C223" s="203" t="inlineStr">
        <is>
          <t>WR-V</t>
        </is>
      </c>
      <c r="D223" s="204" t="inlineStr">
        <is>
          <t>Exclusive Edition Petrol</t>
        </is>
      </c>
      <c r="E223" s="205" t="inlineStr">
        <is>
          <t>Platinum White Pearl</t>
        </is>
      </c>
    </row>
    <row r="224" ht="15" customHeight="1">
      <c r="A224" s="201" t="n">
        <v>220</v>
      </c>
      <c r="B224" s="202" t="inlineStr">
        <is>
          <t>Honda</t>
        </is>
      </c>
      <c r="C224" s="203" t="inlineStr">
        <is>
          <t>WR-V</t>
        </is>
      </c>
      <c r="D224" s="204" t="inlineStr">
        <is>
          <t>Exclusive Edition Petrol</t>
        </is>
      </c>
      <c r="E224" s="205" t="inlineStr">
        <is>
          <t>Radiant Red Metallic</t>
        </is>
      </c>
    </row>
    <row r="225" ht="15" customHeight="1">
      <c r="A225" s="201" t="n">
        <v>221</v>
      </c>
      <c r="B225" s="202" t="inlineStr">
        <is>
          <t>Honda</t>
        </is>
      </c>
      <c r="C225" s="203" t="inlineStr">
        <is>
          <t>WR-V</t>
        </is>
      </c>
      <c r="D225" s="204" t="inlineStr">
        <is>
          <t>SV MT Diesel</t>
        </is>
      </c>
      <c r="E225" s="205" t="inlineStr">
        <is>
          <t>Golden Brown Metallic</t>
        </is>
      </c>
    </row>
    <row r="226" ht="15" customHeight="1">
      <c r="A226" s="201" t="n">
        <v>222</v>
      </c>
      <c r="B226" s="202" t="inlineStr">
        <is>
          <t>Honda</t>
        </is>
      </c>
      <c r="C226" s="203" t="inlineStr">
        <is>
          <t>WR-V</t>
        </is>
      </c>
      <c r="D226" s="204" t="inlineStr">
        <is>
          <t>SV MT Diesel</t>
        </is>
      </c>
      <c r="E226" s="205" t="inlineStr">
        <is>
          <t>Lunar Silver Metallic</t>
        </is>
      </c>
    </row>
    <row r="227" ht="15" customHeight="1">
      <c r="A227" s="201" t="n">
        <v>223</v>
      </c>
      <c r="B227" s="202" t="inlineStr">
        <is>
          <t>Honda</t>
        </is>
      </c>
      <c r="C227" s="203" t="inlineStr">
        <is>
          <t>WR-V</t>
        </is>
      </c>
      <c r="D227" s="204" t="inlineStr">
        <is>
          <t>SV MT Diesel</t>
        </is>
      </c>
      <c r="E227" s="205" t="inlineStr">
        <is>
          <t>Platinum White Pearl</t>
        </is>
      </c>
    </row>
    <row r="228" ht="15" customHeight="1">
      <c r="A228" s="201" t="n">
        <v>224</v>
      </c>
      <c r="B228" s="202" t="inlineStr">
        <is>
          <t>Honda</t>
        </is>
      </c>
      <c r="C228" s="203" t="inlineStr">
        <is>
          <t>WR-V</t>
        </is>
      </c>
      <c r="D228" s="204" t="inlineStr">
        <is>
          <t>SV MT Diesel</t>
        </is>
      </c>
      <c r="E228" s="205" t="inlineStr">
        <is>
          <t>Radiant Red Metallic</t>
        </is>
      </c>
    </row>
    <row r="229" ht="15" customHeight="1">
      <c r="A229" s="201" t="n">
        <v>225</v>
      </c>
      <c r="B229" s="202" t="inlineStr">
        <is>
          <t>Honda</t>
        </is>
      </c>
      <c r="C229" s="203" t="inlineStr">
        <is>
          <t>WR-V</t>
        </is>
      </c>
      <c r="D229" s="204" t="inlineStr">
        <is>
          <t>SV MT Petrol</t>
        </is>
      </c>
      <c r="E229" s="205" t="inlineStr">
        <is>
          <t>Golden Brown Metallic</t>
        </is>
      </c>
    </row>
    <row r="230" ht="15" customHeight="1">
      <c r="A230" s="201" t="n">
        <v>226</v>
      </c>
      <c r="B230" s="202" t="inlineStr">
        <is>
          <t>Honda</t>
        </is>
      </c>
      <c r="C230" s="203" t="inlineStr">
        <is>
          <t>WR-V</t>
        </is>
      </c>
      <c r="D230" s="204" t="inlineStr">
        <is>
          <t>SV MT Petrol</t>
        </is>
      </c>
      <c r="E230" s="205" t="inlineStr">
        <is>
          <t>Lunar Silver Metallic</t>
        </is>
      </c>
    </row>
    <row r="231" ht="15" customHeight="1">
      <c r="A231" s="201" t="n">
        <v>227</v>
      </c>
      <c r="B231" s="202" t="inlineStr">
        <is>
          <t>Honda</t>
        </is>
      </c>
      <c r="C231" s="203" t="inlineStr">
        <is>
          <t>WR-V</t>
        </is>
      </c>
      <c r="D231" s="204" t="inlineStr">
        <is>
          <t>SV MT Petrol</t>
        </is>
      </c>
      <c r="E231" s="205" t="inlineStr">
        <is>
          <t>Platinum White Pearl</t>
        </is>
      </c>
    </row>
    <row r="232" ht="15" customHeight="1">
      <c r="A232" s="201" t="n">
        <v>228</v>
      </c>
      <c r="B232" s="202" t="inlineStr">
        <is>
          <t>Honda</t>
        </is>
      </c>
      <c r="C232" s="203" t="inlineStr">
        <is>
          <t>WR-V</t>
        </is>
      </c>
      <c r="D232" s="204" t="inlineStr">
        <is>
          <t>SV MT Petrol</t>
        </is>
      </c>
      <c r="E232" s="205" t="inlineStr">
        <is>
          <t>Radiant Red Metallic</t>
        </is>
      </c>
    </row>
    <row r="233" ht="15" customHeight="1">
      <c r="A233" s="201" t="n">
        <v>229</v>
      </c>
      <c r="B233" s="202" t="inlineStr">
        <is>
          <t>Honda</t>
        </is>
      </c>
      <c r="C233" s="203" t="inlineStr">
        <is>
          <t>WR-V</t>
        </is>
      </c>
      <c r="D233" s="204" t="inlineStr">
        <is>
          <t>VX MT Diesel</t>
        </is>
      </c>
      <c r="E233" s="205" t="inlineStr">
        <is>
          <t>Golden Brown Metallic</t>
        </is>
      </c>
    </row>
    <row r="234" ht="15" customHeight="1">
      <c r="A234" s="201" t="n">
        <v>230</v>
      </c>
      <c r="B234" s="202" t="inlineStr">
        <is>
          <t>Honda</t>
        </is>
      </c>
      <c r="C234" s="203" t="inlineStr">
        <is>
          <t>WR-V</t>
        </is>
      </c>
      <c r="D234" s="204" t="inlineStr">
        <is>
          <t>VX MT Diesel</t>
        </is>
      </c>
      <c r="E234" s="205" t="inlineStr">
        <is>
          <t>Lunar Silver Metallic</t>
        </is>
      </c>
    </row>
    <row r="235" ht="15" customHeight="1">
      <c r="A235" s="201" t="n">
        <v>231</v>
      </c>
      <c r="B235" s="202" t="inlineStr">
        <is>
          <t>Honda</t>
        </is>
      </c>
      <c r="C235" s="203" t="inlineStr">
        <is>
          <t>WR-V</t>
        </is>
      </c>
      <c r="D235" s="204" t="inlineStr">
        <is>
          <t>VX MT Diesel</t>
        </is>
      </c>
      <c r="E235" s="205" t="inlineStr">
        <is>
          <t>Platinum White Pearl</t>
        </is>
      </c>
    </row>
    <row r="236" ht="15" customHeight="1">
      <c r="A236" s="201" t="n">
        <v>232</v>
      </c>
      <c r="B236" s="202" t="inlineStr">
        <is>
          <t>Honda</t>
        </is>
      </c>
      <c r="C236" s="203" t="inlineStr">
        <is>
          <t>WR-V</t>
        </is>
      </c>
      <c r="D236" s="204" t="inlineStr">
        <is>
          <t>VX MT Diesel</t>
        </is>
      </c>
      <c r="E236" s="205" t="inlineStr">
        <is>
          <t>Radiant Red Metallic</t>
        </is>
      </c>
    </row>
    <row r="237" ht="15" customHeight="1">
      <c r="A237" s="201" t="n">
        <v>233</v>
      </c>
      <c r="B237" s="202" t="inlineStr">
        <is>
          <t>Honda</t>
        </is>
      </c>
      <c r="C237" s="203" t="inlineStr">
        <is>
          <t>WR-V</t>
        </is>
      </c>
      <c r="D237" s="204" t="inlineStr">
        <is>
          <t>VX MT Petrol</t>
        </is>
      </c>
      <c r="E237" s="205" t="inlineStr">
        <is>
          <t>Golden Brown Metallic</t>
        </is>
      </c>
    </row>
    <row r="238" ht="15" customHeight="1">
      <c r="A238" s="201" t="n">
        <v>234</v>
      </c>
      <c r="B238" s="202" t="inlineStr">
        <is>
          <t>Honda</t>
        </is>
      </c>
      <c r="C238" s="203" t="inlineStr">
        <is>
          <t>WR-V</t>
        </is>
      </c>
      <c r="D238" s="204" t="inlineStr">
        <is>
          <t>VX MT Petrol</t>
        </is>
      </c>
      <c r="E238" s="205" t="inlineStr">
        <is>
          <t>Lunar Silver Metallic</t>
        </is>
      </c>
    </row>
    <row r="239" ht="15" customHeight="1">
      <c r="A239" s="201" t="n">
        <v>235</v>
      </c>
      <c r="B239" s="202" t="inlineStr">
        <is>
          <t>Honda</t>
        </is>
      </c>
      <c r="C239" s="203" t="inlineStr">
        <is>
          <t>WR-V</t>
        </is>
      </c>
      <c r="D239" s="204" t="inlineStr">
        <is>
          <t>VX MT Petrol</t>
        </is>
      </c>
      <c r="E239" s="205" t="inlineStr">
        <is>
          <t>Platinum White Pearl</t>
        </is>
      </c>
    </row>
    <row r="240" ht="15" customHeight="1">
      <c r="A240" s="201" t="n">
        <v>236</v>
      </c>
      <c r="B240" s="202" t="inlineStr">
        <is>
          <t>Honda</t>
        </is>
      </c>
      <c r="C240" s="203" t="inlineStr">
        <is>
          <t>WR-V</t>
        </is>
      </c>
      <c r="D240" s="204" t="inlineStr">
        <is>
          <t>VX MT Petrol</t>
        </is>
      </c>
      <c r="E240" s="205" t="inlineStr">
        <is>
          <t>Radiant Red Metallic</t>
        </is>
      </c>
    </row>
    <row r="241" ht="15" customHeight="1">
      <c r="A241" s="196" t="n">
        <v>237</v>
      </c>
      <c r="B241" s="197" t="inlineStr">
        <is>
          <t>Hyundai</t>
        </is>
      </c>
      <c r="C241" s="198" t="inlineStr">
        <is>
          <t>Alcazar</t>
        </is>
      </c>
      <c r="D241" s="199" t="inlineStr">
        <is>
          <t>Alcazar Corporate</t>
        </is>
      </c>
      <c r="E241" s="200" t="inlineStr">
        <is>
          <t>Atlas White</t>
        </is>
      </c>
    </row>
    <row r="242" ht="15" customHeight="1">
      <c r="A242" s="196" t="n">
        <v>238</v>
      </c>
      <c r="B242" s="197" t="inlineStr">
        <is>
          <t>Hyundai</t>
        </is>
      </c>
      <c r="C242" s="198" t="inlineStr">
        <is>
          <t>Alcazar</t>
        </is>
      </c>
      <c r="D242" s="199" t="inlineStr">
        <is>
          <t>Alcazar Corporate</t>
        </is>
      </c>
      <c r="E242" s="200" t="inlineStr">
        <is>
          <t>Robust Emerald Pearl</t>
        </is>
      </c>
    </row>
    <row r="243" ht="15" customHeight="1">
      <c r="A243" s="196" t="n">
        <v>239</v>
      </c>
      <c r="B243" s="197" t="inlineStr">
        <is>
          <t>Hyundai</t>
        </is>
      </c>
      <c r="C243" s="198" t="inlineStr">
        <is>
          <t>Alcazar</t>
        </is>
      </c>
      <c r="D243" s="199" t="inlineStr">
        <is>
          <t>Alcazar Corporate</t>
        </is>
      </c>
      <c r="E243" s="200" t="inlineStr">
        <is>
          <t>Starry Night</t>
        </is>
      </c>
    </row>
    <row r="244" ht="15" customHeight="1">
      <c r="A244" s="196" t="n">
        <v>240</v>
      </c>
      <c r="B244" s="197" t="inlineStr">
        <is>
          <t>Hyundai</t>
        </is>
      </c>
      <c r="C244" s="198" t="inlineStr">
        <is>
          <t>Alcazar</t>
        </is>
      </c>
      <c r="D244" s="199" t="inlineStr">
        <is>
          <t>Alcazar Corporate</t>
        </is>
      </c>
      <c r="E244" s="200" t="inlineStr">
        <is>
          <t>Titanium Black</t>
        </is>
      </c>
    </row>
    <row r="245" ht="15" customHeight="1">
      <c r="A245" s="196" t="n">
        <v>241</v>
      </c>
      <c r="B245" s="197" t="inlineStr">
        <is>
          <t>Hyundai</t>
        </is>
      </c>
      <c r="C245" s="198" t="inlineStr">
        <is>
          <t>Alcazar</t>
        </is>
      </c>
      <c r="D245" s="199" t="inlineStr">
        <is>
          <t>Alcazar Executive</t>
        </is>
      </c>
      <c r="E245" s="200" t="inlineStr">
        <is>
          <t>Atlas White</t>
        </is>
      </c>
    </row>
    <row r="246" ht="15" customHeight="1">
      <c r="A246" s="196" t="n">
        <v>242</v>
      </c>
      <c r="B246" s="197" t="inlineStr">
        <is>
          <t>Hyundai</t>
        </is>
      </c>
      <c r="C246" s="198" t="inlineStr">
        <is>
          <t>Alcazar</t>
        </is>
      </c>
      <c r="D246" s="199" t="inlineStr">
        <is>
          <t>Alcazar Executive</t>
        </is>
      </c>
      <c r="E246" s="200" t="inlineStr">
        <is>
          <t>Robust Emerald Pearl</t>
        </is>
      </c>
    </row>
    <row r="247" ht="15" customHeight="1">
      <c r="A247" s="196" t="n">
        <v>243</v>
      </c>
      <c r="B247" s="197" t="inlineStr">
        <is>
          <t>Hyundai</t>
        </is>
      </c>
      <c r="C247" s="198" t="inlineStr">
        <is>
          <t>Alcazar</t>
        </is>
      </c>
      <c r="D247" s="199" t="inlineStr">
        <is>
          <t>Alcazar Executive</t>
        </is>
      </c>
      <c r="E247" s="200" t="inlineStr">
        <is>
          <t>Starry Night</t>
        </is>
      </c>
    </row>
    <row r="248" ht="15" customHeight="1">
      <c r="A248" s="196" t="n">
        <v>244</v>
      </c>
      <c r="B248" s="197" t="inlineStr">
        <is>
          <t>Hyundai</t>
        </is>
      </c>
      <c r="C248" s="198" t="inlineStr">
        <is>
          <t>Alcazar</t>
        </is>
      </c>
      <c r="D248" s="199" t="inlineStr">
        <is>
          <t>Alcazar Executive</t>
        </is>
      </c>
      <c r="E248" s="200" t="inlineStr">
        <is>
          <t>Titanium Black</t>
        </is>
      </c>
    </row>
    <row r="249" ht="15" customHeight="1">
      <c r="A249" s="196" t="n">
        <v>245</v>
      </c>
      <c r="B249" s="197" t="inlineStr">
        <is>
          <t>Hyundai</t>
        </is>
      </c>
      <c r="C249" s="198" t="inlineStr">
        <is>
          <t>Alcazar</t>
        </is>
      </c>
      <c r="D249" s="199" t="inlineStr">
        <is>
          <t>Alcazar Platinum</t>
        </is>
      </c>
      <c r="E249" s="200" t="inlineStr">
        <is>
          <t>Atlas White</t>
        </is>
      </c>
    </row>
    <row r="250" ht="15" customHeight="1">
      <c r="A250" s="196" t="n">
        <v>246</v>
      </c>
      <c r="B250" s="197" t="inlineStr">
        <is>
          <t>Hyundai</t>
        </is>
      </c>
      <c r="C250" s="198" t="inlineStr">
        <is>
          <t>Alcazar</t>
        </is>
      </c>
      <c r="D250" s="199" t="inlineStr">
        <is>
          <t>Alcazar Platinum</t>
        </is>
      </c>
      <c r="E250" s="200" t="inlineStr">
        <is>
          <t>Robust Emerald Pearl</t>
        </is>
      </c>
    </row>
    <row r="251" ht="15" customHeight="1">
      <c r="A251" s="196" t="n">
        <v>247</v>
      </c>
      <c r="B251" s="197" t="inlineStr">
        <is>
          <t>Hyundai</t>
        </is>
      </c>
      <c r="C251" s="198" t="inlineStr">
        <is>
          <t>Alcazar</t>
        </is>
      </c>
      <c r="D251" s="199" t="inlineStr">
        <is>
          <t>Alcazar Platinum</t>
        </is>
      </c>
      <c r="E251" s="200" t="inlineStr">
        <is>
          <t>Starry Night</t>
        </is>
      </c>
    </row>
    <row r="252" ht="15" customHeight="1">
      <c r="A252" s="196" t="n">
        <v>248</v>
      </c>
      <c r="B252" s="197" t="inlineStr">
        <is>
          <t>Hyundai</t>
        </is>
      </c>
      <c r="C252" s="198" t="inlineStr">
        <is>
          <t>Alcazar</t>
        </is>
      </c>
      <c r="D252" s="199" t="inlineStr">
        <is>
          <t>Alcazar Platinum</t>
        </is>
      </c>
      <c r="E252" s="200" t="inlineStr">
        <is>
          <t>Titanium Black</t>
        </is>
      </c>
    </row>
    <row r="253" ht="15" customHeight="1">
      <c r="A253" s="196" t="n">
        <v>249</v>
      </c>
      <c r="B253" s="197" t="inlineStr">
        <is>
          <t>Hyundai</t>
        </is>
      </c>
      <c r="C253" s="198" t="inlineStr">
        <is>
          <t>Alcazar</t>
        </is>
      </c>
      <c r="D253" s="199" t="inlineStr">
        <is>
          <t>Alcazar Prestige</t>
        </is>
      </c>
      <c r="E253" s="200" t="inlineStr">
        <is>
          <t>Atlas White</t>
        </is>
      </c>
    </row>
    <row r="254" ht="15" customHeight="1">
      <c r="A254" s="196" t="n">
        <v>250</v>
      </c>
      <c r="B254" s="197" t="inlineStr">
        <is>
          <t>Hyundai</t>
        </is>
      </c>
      <c r="C254" s="198" t="inlineStr">
        <is>
          <t>Alcazar</t>
        </is>
      </c>
      <c r="D254" s="199" t="inlineStr">
        <is>
          <t>Alcazar Prestige</t>
        </is>
      </c>
      <c r="E254" s="200" t="inlineStr">
        <is>
          <t>Robust Emerald Pearl</t>
        </is>
      </c>
    </row>
    <row r="255" ht="15" customHeight="1">
      <c r="A255" s="196" t="n">
        <v>251</v>
      </c>
      <c r="B255" s="197" t="inlineStr">
        <is>
          <t>Hyundai</t>
        </is>
      </c>
      <c r="C255" s="198" t="inlineStr">
        <is>
          <t>Alcazar</t>
        </is>
      </c>
      <c r="D255" s="199" t="inlineStr">
        <is>
          <t>Alcazar Prestige</t>
        </is>
      </c>
      <c r="E255" s="200" t="inlineStr">
        <is>
          <t>Starry Night</t>
        </is>
      </c>
    </row>
    <row r="256" ht="15" customHeight="1">
      <c r="A256" s="196" t="n">
        <v>252</v>
      </c>
      <c r="B256" s="197" t="inlineStr">
        <is>
          <t>Hyundai</t>
        </is>
      </c>
      <c r="C256" s="198" t="inlineStr">
        <is>
          <t>Alcazar</t>
        </is>
      </c>
      <c r="D256" s="199" t="inlineStr">
        <is>
          <t>Alcazar Prestige</t>
        </is>
      </c>
      <c r="E256" s="200" t="inlineStr">
        <is>
          <t>Titanium Black</t>
        </is>
      </c>
    </row>
    <row r="257" ht="15" customHeight="1">
      <c r="A257" s="196" t="n">
        <v>253</v>
      </c>
      <c r="B257" s="197" t="inlineStr">
        <is>
          <t>Hyundai</t>
        </is>
      </c>
      <c r="C257" s="198" t="inlineStr">
        <is>
          <t>Alcazar</t>
        </is>
      </c>
      <c r="D257" s="199" t="inlineStr">
        <is>
          <t>Alcazar Signature</t>
        </is>
      </c>
      <c r="E257" s="200" t="inlineStr">
        <is>
          <t>Atlas White</t>
        </is>
      </c>
    </row>
    <row r="258" ht="15" customHeight="1">
      <c r="A258" s="196" t="n">
        <v>254</v>
      </c>
      <c r="B258" s="197" t="inlineStr">
        <is>
          <t>Hyundai</t>
        </is>
      </c>
      <c r="C258" s="198" t="inlineStr">
        <is>
          <t>Alcazar</t>
        </is>
      </c>
      <c r="D258" s="199" t="inlineStr">
        <is>
          <t>Alcazar Signature</t>
        </is>
      </c>
      <c r="E258" s="200" t="inlineStr">
        <is>
          <t>Robust Emerald Pearl</t>
        </is>
      </c>
    </row>
    <row r="259" ht="15" customHeight="1">
      <c r="A259" s="196" t="n">
        <v>255</v>
      </c>
      <c r="B259" s="197" t="inlineStr">
        <is>
          <t>Hyundai</t>
        </is>
      </c>
      <c r="C259" s="198" t="inlineStr">
        <is>
          <t>Alcazar</t>
        </is>
      </c>
      <c r="D259" s="199" t="inlineStr">
        <is>
          <t>Alcazar Signature</t>
        </is>
      </c>
      <c r="E259" s="200" t="inlineStr">
        <is>
          <t>Starry Night</t>
        </is>
      </c>
    </row>
    <row r="260" ht="15" customHeight="1">
      <c r="A260" s="196" t="n">
        <v>256</v>
      </c>
      <c r="B260" s="197" t="inlineStr">
        <is>
          <t>Hyundai</t>
        </is>
      </c>
      <c r="C260" s="198" t="inlineStr">
        <is>
          <t>Alcazar</t>
        </is>
      </c>
      <c r="D260" s="199" t="inlineStr">
        <is>
          <t>Alcazar Signature</t>
        </is>
      </c>
      <c r="E260" s="200" t="inlineStr">
        <is>
          <t>Titanium Black</t>
        </is>
      </c>
    </row>
    <row r="261" ht="15" customHeight="1">
      <c r="A261" s="196" t="n">
        <v>257</v>
      </c>
      <c r="B261" s="197" t="inlineStr">
        <is>
          <t>Hyundai</t>
        </is>
      </c>
      <c r="C261" s="198" t="inlineStr">
        <is>
          <t>Alcazar</t>
        </is>
      </c>
      <c r="D261" s="199" t="inlineStr">
        <is>
          <t>Alcazar Signature Knight</t>
        </is>
      </c>
      <c r="E261" s="200" t="inlineStr">
        <is>
          <t>Atlas White</t>
        </is>
      </c>
    </row>
    <row r="262" ht="15" customHeight="1">
      <c r="A262" s="196" t="n">
        <v>258</v>
      </c>
      <c r="B262" s="197" t="inlineStr">
        <is>
          <t>Hyundai</t>
        </is>
      </c>
      <c r="C262" s="198" t="inlineStr">
        <is>
          <t>Alcazar</t>
        </is>
      </c>
      <c r="D262" s="199" t="inlineStr">
        <is>
          <t>Alcazar Signature Knight</t>
        </is>
      </c>
      <c r="E262" s="200" t="inlineStr">
        <is>
          <t>Robust Emerald Pearl</t>
        </is>
      </c>
    </row>
    <row r="263" ht="15" customHeight="1">
      <c r="A263" s="196" t="n">
        <v>259</v>
      </c>
      <c r="B263" s="197" t="inlineStr">
        <is>
          <t>Hyundai</t>
        </is>
      </c>
      <c r="C263" s="198" t="inlineStr">
        <is>
          <t>Alcazar</t>
        </is>
      </c>
      <c r="D263" s="199" t="inlineStr">
        <is>
          <t>Alcazar Signature Knight</t>
        </is>
      </c>
      <c r="E263" s="200" t="inlineStr">
        <is>
          <t>Starry Night</t>
        </is>
      </c>
    </row>
    <row r="264" ht="15" customHeight="1">
      <c r="A264" s="196" t="n">
        <v>260</v>
      </c>
      <c r="B264" s="197" t="inlineStr">
        <is>
          <t>Hyundai</t>
        </is>
      </c>
      <c r="C264" s="198" t="inlineStr">
        <is>
          <t>Alcazar</t>
        </is>
      </c>
      <c r="D264" s="199" t="inlineStr">
        <is>
          <t>Alcazar Signature Knight</t>
        </is>
      </c>
      <c r="E264" s="200" t="inlineStr">
        <is>
          <t>Titanium Black</t>
        </is>
      </c>
    </row>
    <row r="265" ht="15" customHeight="1">
      <c r="A265" s="196" t="n">
        <v>261</v>
      </c>
      <c r="B265" s="197" t="inlineStr">
        <is>
          <t>Hyundai</t>
        </is>
      </c>
      <c r="C265" s="198" t="inlineStr">
        <is>
          <t>Creta</t>
        </is>
      </c>
      <c r="D265" s="199" t="inlineStr">
        <is>
          <t>Creta E</t>
        </is>
      </c>
      <c r="E265" s="200" t="inlineStr">
        <is>
          <t>Atlas White</t>
        </is>
      </c>
    </row>
    <row r="266" ht="15" customHeight="1">
      <c r="A266" s="196" t="n">
        <v>262</v>
      </c>
      <c r="B266" s="197" t="inlineStr">
        <is>
          <t>Hyundai</t>
        </is>
      </c>
      <c r="C266" s="198" t="inlineStr">
        <is>
          <t>Creta</t>
        </is>
      </c>
      <c r="D266" s="199" t="inlineStr">
        <is>
          <t>Creta E</t>
        </is>
      </c>
      <c r="E266" s="200" t="inlineStr">
        <is>
          <t>Ranger Khaki</t>
        </is>
      </c>
    </row>
    <row r="267" ht="15" customHeight="1">
      <c r="A267" s="196" t="n">
        <v>263</v>
      </c>
      <c r="B267" s="197" t="inlineStr">
        <is>
          <t>Hyundai</t>
        </is>
      </c>
      <c r="C267" s="198" t="inlineStr">
        <is>
          <t>Creta</t>
        </is>
      </c>
      <c r="D267" s="199" t="inlineStr">
        <is>
          <t>Creta E</t>
        </is>
      </c>
      <c r="E267" s="200" t="inlineStr">
        <is>
          <t>Robust Emerald Pearl</t>
        </is>
      </c>
    </row>
    <row r="268" ht="15" customHeight="1">
      <c r="A268" s="196" t="n">
        <v>264</v>
      </c>
      <c r="B268" s="197" t="inlineStr">
        <is>
          <t>Hyundai</t>
        </is>
      </c>
      <c r="C268" s="198" t="inlineStr">
        <is>
          <t>Creta</t>
        </is>
      </c>
      <c r="D268" s="199" t="inlineStr">
        <is>
          <t>Creta E</t>
        </is>
      </c>
      <c r="E268" s="200" t="inlineStr">
        <is>
          <t>Titan Grey Matte</t>
        </is>
      </c>
    </row>
    <row r="269" ht="15" customHeight="1">
      <c r="A269" s="196" t="n">
        <v>265</v>
      </c>
      <c r="B269" s="197" t="inlineStr">
        <is>
          <t>Hyundai</t>
        </is>
      </c>
      <c r="C269" s="198" t="inlineStr">
        <is>
          <t>Creta</t>
        </is>
      </c>
      <c r="D269" s="199" t="inlineStr">
        <is>
          <t>Creta E</t>
        </is>
      </c>
      <c r="E269" s="200" t="inlineStr">
        <is>
          <t>Titanium Black</t>
        </is>
      </c>
    </row>
    <row r="270" ht="15" customHeight="1">
      <c r="A270" s="196" t="n">
        <v>266</v>
      </c>
      <c r="B270" s="197" t="inlineStr">
        <is>
          <t>Hyundai</t>
        </is>
      </c>
      <c r="C270" s="198" t="inlineStr">
        <is>
          <t>Creta</t>
        </is>
      </c>
      <c r="D270" s="199" t="inlineStr">
        <is>
          <t>Creta EX</t>
        </is>
      </c>
      <c r="E270" s="200" t="inlineStr">
        <is>
          <t>Atlas White</t>
        </is>
      </c>
    </row>
    <row r="271" ht="15" customHeight="1">
      <c r="A271" s="196" t="n">
        <v>267</v>
      </c>
      <c r="B271" s="197" t="inlineStr">
        <is>
          <t>Hyundai</t>
        </is>
      </c>
      <c r="C271" s="198" t="inlineStr">
        <is>
          <t>Creta</t>
        </is>
      </c>
      <c r="D271" s="199" t="inlineStr">
        <is>
          <t>Creta EX</t>
        </is>
      </c>
      <c r="E271" s="200" t="inlineStr">
        <is>
          <t>Ranger Khaki</t>
        </is>
      </c>
    </row>
    <row r="272" ht="15" customHeight="1">
      <c r="A272" s="196" t="n">
        <v>268</v>
      </c>
      <c r="B272" s="197" t="inlineStr">
        <is>
          <t>Hyundai</t>
        </is>
      </c>
      <c r="C272" s="198" t="inlineStr">
        <is>
          <t>Creta</t>
        </is>
      </c>
      <c r="D272" s="199" t="inlineStr">
        <is>
          <t>Creta EX</t>
        </is>
      </c>
      <c r="E272" s="200" t="inlineStr">
        <is>
          <t>Robust Emerald Pearl</t>
        </is>
      </c>
    </row>
    <row r="273" ht="15" customHeight="1">
      <c r="A273" s="196" t="n">
        <v>269</v>
      </c>
      <c r="B273" s="197" t="inlineStr">
        <is>
          <t>Hyundai</t>
        </is>
      </c>
      <c r="C273" s="198" t="inlineStr">
        <is>
          <t>Creta</t>
        </is>
      </c>
      <c r="D273" s="199" t="inlineStr">
        <is>
          <t>Creta EX</t>
        </is>
      </c>
      <c r="E273" s="200" t="inlineStr">
        <is>
          <t>Titan Grey Matte</t>
        </is>
      </c>
    </row>
    <row r="274" ht="15" customHeight="1">
      <c r="A274" s="196" t="n">
        <v>270</v>
      </c>
      <c r="B274" s="197" t="inlineStr">
        <is>
          <t>Hyundai</t>
        </is>
      </c>
      <c r="C274" s="198" t="inlineStr">
        <is>
          <t>Creta</t>
        </is>
      </c>
      <c r="D274" s="199" t="inlineStr">
        <is>
          <t>Creta EX</t>
        </is>
      </c>
      <c r="E274" s="200" t="inlineStr">
        <is>
          <t>Titanium Black</t>
        </is>
      </c>
    </row>
    <row r="275" ht="15" customHeight="1">
      <c r="A275" s="196" t="n">
        <v>271</v>
      </c>
      <c r="B275" s="197" t="inlineStr">
        <is>
          <t>Hyundai</t>
        </is>
      </c>
      <c r="C275" s="198" t="inlineStr">
        <is>
          <t>Creta</t>
        </is>
      </c>
      <c r="D275" s="199" t="inlineStr">
        <is>
          <t>Creta EX (O)</t>
        </is>
      </c>
      <c r="E275" s="200" t="inlineStr">
        <is>
          <t>Atlas White</t>
        </is>
      </c>
    </row>
    <row r="276" ht="15" customHeight="1">
      <c r="A276" s="196" t="n">
        <v>272</v>
      </c>
      <c r="B276" s="197" t="inlineStr">
        <is>
          <t>Hyundai</t>
        </is>
      </c>
      <c r="C276" s="198" t="inlineStr">
        <is>
          <t>Creta</t>
        </is>
      </c>
      <c r="D276" s="199" t="inlineStr">
        <is>
          <t>Creta EX (O)</t>
        </is>
      </c>
      <c r="E276" s="200" t="inlineStr">
        <is>
          <t>Ranger Khaki</t>
        </is>
      </c>
    </row>
    <row r="277" ht="15" customHeight="1">
      <c r="A277" s="196" t="n">
        <v>273</v>
      </c>
      <c r="B277" s="197" t="inlineStr">
        <is>
          <t>Hyundai</t>
        </is>
      </c>
      <c r="C277" s="198" t="inlineStr">
        <is>
          <t>Creta</t>
        </is>
      </c>
      <c r="D277" s="199" t="inlineStr">
        <is>
          <t>Creta EX (O)</t>
        </is>
      </c>
      <c r="E277" s="200" t="inlineStr">
        <is>
          <t>Robust Emerald Pearl</t>
        </is>
      </c>
    </row>
    <row r="278" ht="15" customHeight="1">
      <c r="A278" s="196" t="n">
        <v>274</v>
      </c>
      <c r="B278" s="197" t="inlineStr">
        <is>
          <t>Hyundai</t>
        </is>
      </c>
      <c r="C278" s="198" t="inlineStr">
        <is>
          <t>Creta</t>
        </is>
      </c>
      <c r="D278" s="199" t="inlineStr">
        <is>
          <t>Creta EX (O)</t>
        </is>
      </c>
      <c r="E278" s="200" t="inlineStr">
        <is>
          <t>Titan Grey Matte</t>
        </is>
      </c>
    </row>
    <row r="279" ht="15" customHeight="1">
      <c r="A279" s="196" t="n">
        <v>275</v>
      </c>
      <c r="B279" s="197" t="inlineStr">
        <is>
          <t>Hyundai</t>
        </is>
      </c>
      <c r="C279" s="198" t="inlineStr">
        <is>
          <t>Creta</t>
        </is>
      </c>
      <c r="D279" s="199" t="inlineStr">
        <is>
          <t>Creta EX (O)</t>
        </is>
      </c>
      <c r="E279" s="200" t="inlineStr">
        <is>
          <t>Titanium Black</t>
        </is>
      </c>
    </row>
    <row r="280" ht="15" customHeight="1">
      <c r="A280" s="196" t="n">
        <v>276</v>
      </c>
      <c r="B280" s="197" t="inlineStr">
        <is>
          <t>Hyundai</t>
        </is>
      </c>
      <c r="C280" s="198" t="inlineStr">
        <is>
          <t>Creta</t>
        </is>
      </c>
      <c r="D280" s="199" t="inlineStr">
        <is>
          <t>Creta King Edition</t>
        </is>
      </c>
      <c r="E280" s="200" t="inlineStr">
        <is>
          <t>Atlas White</t>
        </is>
      </c>
    </row>
    <row r="281" ht="15" customHeight="1">
      <c r="A281" s="196" t="n">
        <v>277</v>
      </c>
      <c r="B281" s="197" t="inlineStr">
        <is>
          <t>Hyundai</t>
        </is>
      </c>
      <c r="C281" s="198" t="inlineStr">
        <is>
          <t>Creta</t>
        </is>
      </c>
      <c r="D281" s="199" t="inlineStr">
        <is>
          <t>Creta King Edition</t>
        </is>
      </c>
      <c r="E281" s="200" t="inlineStr">
        <is>
          <t>King Limited Edition Titanium Black Matte</t>
        </is>
      </c>
    </row>
    <row r="282" ht="15" customHeight="1">
      <c r="A282" s="196" t="n">
        <v>278</v>
      </c>
      <c r="B282" s="197" t="inlineStr">
        <is>
          <t>Hyundai</t>
        </is>
      </c>
      <c r="C282" s="198" t="inlineStr">
        <is>
          <t>Creta</t>
        </is>
      </c>
      <c r="D282" s="199" t="inlineStr">
        <is>
          <t>Creta King Edition</t>
        </is>
      </c>
      <c r="E282" s="200" t="inlineStr">
        <is>
          <t>Titanium Black</t>
        </is>
      </c>
    </row>
    <row r="283" ht="15" customHeight="1">
      <c r="A283" s="196" t="n">
        <v>279</v>
      </c>
      <c r="B283" s="197" t="inlineStr">
        <is>
          <t>Hyundai</t>
        </is>
      </c>
      <c r="C283" s="198" t="inlineStr">
        <is>
          <t>Creta</t>
        </is>
      </c>
      <c r="D283" s="199" t="inlineStr">
        <is>
          <t>Creta King Knight Edition</t>
        </is>
      </c>
      <c r="E283" s="200" t="inlineStr">
        <is>
          <t>Atlas White</t>
        </is>
      </c>
    </row>
    <row r="284" ht="15" customHeight="1">
      <c r="A284" s="196" t="n">
        <v>280</v>
      </c>
      <c r="B284" s="197" t="inlineStr">
        <is>
          <t>Hyundai</t>
        </is>
      </c>
      <c r="C284" s="198" t="inlineStr">
        <is>
          <t>Creta</t>
        </is>
      </c>
      <c r="D284" s="199" t="inlineStr">
        <is>
          <t>Creta King Knight Edition</t>
        </is>
      </c>
      <c r="E284" s="200" t="inlineStr">
        <is>
          <t>King Limited Edition Titanium Black Matte</t>
        </is>
      </c>
    </row>
    <row r="285" ht="15" customHeight="1">
      <c r="A285" s="196" t="n">
        <v>281</v>
      </c>
      <c r="B285" s="197" t="inlineStr">
        <is>
          <t>Hyundai</t>
        </is>
      </c>
      <c r="C285" s="198" t="inlineStr">
        <is>
          <t>Creta</t>
        </is>
      </c>
      <c r="D285" s="199" t="inlineStr">
        <is>
          <t>Creta King Knight Edition</t>
        </is>
      </c>
      <c r="E285" s="200" t="inlineStr">
        <is>
          <t>Titanium Black</t>
        </is>
      </c>
    </row>
    <row r="286" ht="15" customHeight="1">
      <c r="A286" s="196" t="n">
        <v>282</v>
      </c>
      <c r="B286" s="197" t="inlineStr">
        <is>
          <t>Hyundai</t>
        </is>
      </c>
      <c r="C286" s="198" t="inlineStr">
        <is>
          <t>Creta</t>
        </is>
      </c>
      <c r="D286" s="199" t="inlineStr">
        <is>
          <t>Creta King Limited Edition</t>
        </is>
      </c>
      <c r="E286" s="200" t="inlineStr">
        <is>
          <t>Atlas White</t>
        </is>
      </c>
    </row>
    <row r="287" ht="15" customHeight="1">
      <c r="A287" s="196" t="n">
        <v>283</v>
      </c>
      <c r="B287" s="197" t="inlineStr">
        <is>
          <t>Hyundai</t>
        </is>
      </c>
      <c r="C287" s="198" t="inlineStr">
        <is>
          <t>Creta</t>
        </is>
      </c>
      <c r="D287" s="199" t="inlineStr">
        <is>
          <t>Creta King Limited Edition</t>
        </is>
      </c>
      <c r="E287" s="200" t="inlineStr">
        <is>
          <t>King Limited Edition Titanium Black Matte</t>
        </is>
      </c>
    </row>
    <row r="288" ht="15" customHeight="1">
      <c r="A288" s="196" t="n">
        <v>284</v>
      </c>
      <c r="B288" s="197" t="inlineStr">
        <is>
          <t>Hyundai</t>
        </is>
      </c>
      <c r="C288" s="198" t="inlineStr">
        <is>
          <t>Creta</t>
        </is>
      </c>
      <c r="D288" s="199" t="inlineStr">
        <is>
          <t>Creta King Limited Edition</t>
        </is>
      </c>
      <c r="E288" s="200" t="inlineStr">
        <is>
          <t>Titanium Black</t>
        </is>
      </c>
    </row>
    <row r="289" ht="15" customHeight="1">
      <c r="A289" s="196" t="n">
        <v>285</v>
      </c>
      <c r="B289" s="197" t="inlineStr">
        <is>
          <t>Hyundai</t>
        </is>
      </c>
      <c r="C289" s="198" t="inlineStr">
        <is>
          <t>Creta</t>
        </is>
      </c>
      <c r="D289" s="199" t="inlineStr">
        <is>
          <t>Creta S</t>
        </is>
      </c>
      <c r="E289" s="200" t="inlineStr">
        <is>
          <t>Atlas White</t>
        </is>
      </c>
    </row>
    <row r="290" ht="15" customHeight="1">
      <c r="A290" s="196" t="n">
        <v>286</v>
      </c>
      <c r="B290" s="197" t="inlineStr">
        <is>
          <t>Hyundai</t>
        </is>
      </c>
      <c r="C290" s="198" t="inlineStr">
        <is>
          <t>Creta</t>
        </is>
      </c>
      <c r="D290" s="199" t="inlineStr">
        <is>
          <t>Creta S</t>
        </is>
      </c>
      <c r="E290" s="200" t="inlineStr">
        <is>
          <t>Ranger Khaki</t>
        </is>
      </c>
    </row>
    <row r="291" ht="15" customHeight="1">
      <c r="A291" s="196" t="n">
        <v>287</v>
      </c>
      <c r="B291" s="197" t="inlineStr">
        <is>
          <t>Hyundai</t>
        </is>
      </c>
      <c r="C291" s="198" t="inlineStr">
        <is>
          <t>Creta</t>
        </is>
      </c>
      <c r="D291" s="199" t="inlineStr">
        <is>
          <t>Creta S</t>
        </is>
      </c>
      <c r="E291" s="200" t="inlineStr">
        <is>
          <t>Robust Emerald Pearl</t>
        </is>
      </c>
    </row>
    <row r="292" ht="15" customHeight="1">
      <c r="A292" s="196" t="n">
        <v>288</v>
      </c>
      <c r="B292" s="197" t="inlineStr">
        <is>
          <t>Hyundai</t>
        </is>
      </c>
      <c r="C292" s="198" t="inlineStr">
        <is>
          <t>Creta</t>
        </is>
      </c>
      <c r="D292" s="199" t="inlineStr">
        <is>
          <t>Creta S</t>
        </is>
      </c>
      <c r="E292" s="200" t="inlineStr">
        <is>
          <t>Titan Grey Matte</t>
        </is>
      </c>
    </row>
    <row r="293" ht="15" customHeight="1">
      <c r="A293" s="196" t="n">
        <v>289</v>
      </c>
      <c r="B293" s="197" t="inlineStr">
        <is>
          <t>Hyundai</t>
        </is>
      </c>
      <c r="C293" s="198" t="inlineStr">
        <is>
          <t>Creta</t>
        </is>
      </c>
      <c r="D293" s="199" t="inlineStr">
        <is>
          <t>Creta S</t>
        </is>
      </c>
      <c r="E293" s="200" t="inlineStr">
        <is>
          <t>Titanium Black</t>
        </is>
      </c>
    </row>
    <row r="294" ht="15" customHeight="1">
      <c r="A294" s="196" t="n">
        <v>290</v>
      </c>
      <c r="B294" s="197" t="inlineStr">
        <is>
          <t>Hyundai</t>
        </is>
      </c>
      <c r="C294" s="198" t="inlineStr">
        <is>
          <t>Creta</t>
        </is>
      </c>
      <c r="D294" s="199" t="inlineStr">
        <is>
          <t>Creta S (O)</t>
        </is>
      </c>
      <c r="E294" s="200" t="inlineStr">
        <is>
          <t>Atlas White</t>
        </is>
      </c>
    </row>
    <row r="295" ht="15" customHeight="1">
      <c r="A295" s="196" t="n">
        <v>291</v>
      </c>
      <c r="B295" s="197" t="inlineStr">
        <is>
          <t>Hyundai</t>
        </is>
      </c>
      <c r="C295" s="198" t="inlineStr">
        <is>
          <t>Creta</t>
        </is>
      </c>
      <c r="D295" s="199" t="inlineStr">
        <is>
          <t>Creta S (O)</t>
        </is>
      </c>
      <c r="E295" s="200" t="inlineStr">
        <is>
          <t>Ranger Khaki</t>
        </is>
      </c>
    </row>
    <row r="296" ht="15" customHeight="1">
      <c r="A296" s="196" t="n">
        <v>292</v>
      </c>
      <c r="B296" s="197" t="inlineStr">
        <is>
          <t>Hyundai</t>
        </is>
      </c>
      <c r="C296" s="198" t="inlineStr">
        <is>
          <t>Creta</t>
        </is>
      </c>
      <c r="D296" s="199" t="inlineStr">
        <is>
          <t>Creta S (O)</t>
        </is>
      </c>
      <c r="E296" s="200" t="inlineStr">
        <is>
          <t>Robust Emerald Pearl</t>
        </is>
      </c>
    </row>
    <row r="297" ht="15" customHeight="1">
      <c r="A297" s="196" t="n">
        <v>293</v>
      </c>
      <c r="B297" s="197" t="inlineStr">
        <is>
          <t>Hyundai</t>
        </is>
      </c>
      <c r="C297" s="198" t="inlineStr">
        <is>
          <t>Creta</t>
        </is>
      </c>
      <c r="D297" s="199" t="inlineStr">
        <is>
          <t>Creta S (O)</t>
        </is>
      </c>
      <c r="E297" s="200" t="inlineStr">
        <is>
          <t>Titan Grey Matte</t>
        </is>
      </c>
    </row>
    <row r="298" ht="15" customHeight="1">
      <c r="A298" s="196" t="n">
        <v>294</v>
      </c>
      <c r="B298" s="197" t="inlineStr">
        <is>
          <t>Hyundai</t>
        </is>
      </c>
      <c r="C298" s="198" t="inlineStr">
        <is>
          <t>Creta</t>
        </is>
      </c>
      <c r="D298" s="199" t="inlineStr">
        <is>
          <t>Creta S (O)</t>
        </is>
      </c>
      <c r="E298" s="200" t="inlineStr">
        <is>
          <t>Titanium Black</t>
        </is>
      </c>
    </row>
    <row r="299" ht="15" customHeight="1">
      <c r="A299" s="196" t="n">
        <v>295</v>
      </c>
      <c r="B299" s="197" t="inlineStr">
        <is>
          <t>Hyundai</t>
        </is>
      </c>
      <c r="C299" s="198" t="inlineStr">
        <is>
          <t>Creta</t>
        </is>
      </c>
      <c r="D299" s="199" t="inlineStr">
        <is>
          <t>Creta S (O) Knight</t>
        </is>
      </c>
      <c r="E299" s="200" t="inlineStr">
        <is>
          <t>Atlas White with Titanium Black</t>
        </is>
      </c>
    </row>
    <row r="300" ht="15" customHeight="1">
      <c r="A300" s="196" t="n">
        <v>296</v>
      </c>
      <c r="B300" s="197" t="inlineStr">
        <is>
          <t>Hyundai</t>
        </is>
      </c>
      <c r="C300" s="198" t="inlineStr">
        <is>
          <t>Creta</t>
        </is>
      </c>
      <c r="D300" s="199" t="inlineStr">
        <is>
          <t>Creta SX</t>
        </is>
      </c>
      <c r="E300" s="200" t="inlineStr">
        <is>
          <t>Atlas White</t>
        </is>
      </c>
    </row>
    <row r="301" ht="15" customHeight="1">
      <c r="A301" s="196" t="n">
        <v>297</v>
      </c>
      <c r="B301" s="197" t="inlineStr">
        <is>
          <t>Hyundai</t>
        </is>
      </c>
      <c r="C301" s="198" t="inlineStr">
        <is>
          <t>Creta</t>
        </is>
      </c>
      <c r="D301" s="199" t="inlineStr">
        <is>
          <t>Creta SX</t>
        </is>
      </c>
      <c r="E301" s="200" t="inlineStr">
        <is>
          <t>Ranger Khaki</t>
        </is>
      </c>
    </row>
    <row r="302" ht="15" customHeight="1">
      <c r="A302" s="196" t="n">
        <v>298</v>
      </c>
      <c r="B302" s="197" t="inlineStr">
        <is>
          <t>Hyundai</t>
        </is>
      </c>
      <c r="C302" s="198" t="inlineStr">
        <is>
          <t>Creta</t>
        </is>
      </c>
      <c r="D302" s="199" t="inlineStr">
        <is>
          <t>Creta SX</t>
        </is>
      </c>
      <c r="E302" s="200" t="inlineStr">
        <is>
          <t>Robust Emerald Pearl</t>
        </is>
      </c>
    </row>
    <row r="303" ht="15" customHeight="1">
      <c r="A303" s="196" t="n">
        <v>299</v>
      </c>
      <c r="B303" s="197" t="inlineStr">
        <is>
          <t>Hyundai</t>
        </is>
      </c>
      <c r="C303" s="198" t="inlineStr">
        <is>
          <t>Creta</t>
        </is>
      </c>
      <c r="D303" s="199" t="inlineStr">
        <is>
          <t>Creta SX</t>
        </is>
      </c>
      <c r="E303" s="200" t="inlineStr">
        <is>
          <t>Titan Grey Matte</t>
        </is>
      </c>
    </row>
    <row r="304" ht="15" customHeight="1">
      <c r="A304" s="196" t="n">
        <v>300</v>
      </c>
      <c r="B304" s="197" t="inlineStr">
        <is>
          <t>Hyundai</t>
        </is>
      </c>
      <c r="C304" s="198" t="inlineStr">
        <is>
          <t>Creta</t>
        </is>
      </c>
      <c r="D304" s="199" t="inlineStr">
        <is>
          <t>Creta SX</t>
        </is>
      </c>
      <c r="E304" s="200" t="inlineStr">
        <is>
          <t>Titanium Black</t>
        </is>
      </c>
    </row>
    <row r="305" ht="15" customHeight="1">
      <c r="A305" s="196" t="n">
        <v>301</v>
      </c>
      <c r="B305" s="197" t="inlineStr">
        <is>
          <t>Hyundai</t>
        </is>
      </c>
      <c r="C305" s="198" t="inlineStr">
        <is>
          <t>Creta</t>
        </is>
      </c>
      <c r="D305" s="199" t="inlineStr">
        <is>
          <t>Creta SX (O)</t>
        </is>
      </c>
      <c r="E305" s="200" t="inlineStr">
        <is>
          <t>Atlas White with Titanium Black</t>
        </is>
      </c>
    </row>
    <row r="306" ht="15" customHeight="1">
      <c r="A306" s="196" t="n">
        <v>302</v>
      </c>
      <c r="B306" s="197" t="inlineStr">
        <is>
          <t>Hyundai</t>
        </is>
      </c>
      <c r="C306" s="198" t="inlineStr">
        <is>
          <t>Creta</t>
        </is>
      </c>
      <c r="D306" s="199" t="inlineStr">
        <is>
          <t>Creta SX (O) Knight</t>
        </is>
      </c>
      <c r="E306" s="200" t="inlineStr">
        <is>
          <t>Titanium Black</t>
        </is>
      </c>
    </row>
    <row r="307" ht="15" customHeight="1">
      <c r="A307" s="196" t="n">
        <v>303</v>
      </c>
      <c r="B307" s="197" t="inlineStr">
        <is>
          <t>Hyundai</t>
        </is>
      </c>
      <c r="C307" s="198" t="inlineStr">
        <is>
          <t>Creta</t>
        </is>
      </c>
      <c r="D307" s="199" t="inlineStr">
        <is>
          <t>Creta SX Premium</t>
        </is>
      </c>
      <c r="E307" s="200" t="inlineStr">
        <is>
          <t>Robust Emerald Pearl</t>
        </is>
      </c>
    </row>
    <row r="308" ht="15" customHeight="1">
      <c r="A308" s="196" t="n">
        <v>304</v>
      </c>
      <c r="B308" s="197" t="inlineStr">
        <is>
          <t>Hyundai</t>
        </is>
      </c>
      <c r="C308" s="198" t="inlineStr">
        <is>
          <t>Creta</t>
        </is>
      </c>
      <c r="D308" s="199" t="inlineStr">
        <is>
          <t>Creta SX Tech</t>
        </is>
      </c>
      <c r="E308" s="200" t="inlineStr">
        <is>
          <t>Atlas White</t>
        </is>
      </c>
    </row>
    <row r="309" ht="15" customHeight="1">
      <c r="A309" s="196" t="n">
        <v>305</v>
      </c>
      <c r="B309" s="197" t="inlineStr">
        <is>
          <t>Hyundai</t>
        </is>
      </c>
      <c r="C309" s="198" t="inlineStr">
        <is>
          <t>Creta</t>
        </is>
      </c>
      <c r="D309" s="199" t="inlineStr">
        <is>
          <t>Creta SX Tech</t>
        </is>
      </c>
      <c r="E309" s="200" t="inlineStr">
        <is>
          <t>Ranger Khaki</t>
        </is>
      </c>
    </row>
    <row r="310" ht="15" customHeight="1">
      <c r="A310" s="196" t="n">
        <v>306</v>
      </c>
      <c r="B310" s="197" t="inlineStr">
        <is>
          <t>Hyundai</t>
        </is>
      </c>
      <c r="C310" s="198" t="inlineStr">
        <is>
          <t>Creta</t>
        </is>
      </c>
      <c r="D310" s="199" t="inlineStr">
        <is>
          <t>Creta SX Tech</t>
        </is>
      </c>
      <c r="E310" s="200" t="inlineStr">
        <is>
          <t>Robust Emerald Pearl</t>
        </is>
      </c>
    </row>
    <row r="311" ht="15" customHeight="1">
      <c r="A311" s="196" t="n">
        <v>307</v>
      </c>
      <c r="B311" s="197" t="inlineStr">
        <is>
          <t>Hyundai</t>
        </is>
      </c>
      <c r="C311" s="198" t="inlineStr">
        <is>
          <t>Creta</t>
        </is>
      </c>
      <c r="D311" s="199" t="inlineStr">
        <is>
          <t>Creta SX Tech</t>
        </is>
      </c>
      <c r="E311" s="200" t="inlineStr">
        <is>
          <t>Titan Grey Matte</t>
        </is>
      </c>
    </row>
    <row r="312" ht="15" customHeight="1">
      <c r="A312" s="196" t="n">
        <v>308</v>
      </c>
      <c r="B312" s="197" t="inlineStr">
        <is>
          <t>Hyundai</t>
        </is>
      </c>
      <c r="C312" s="198" t="inlineStr">
        <is>
          <t>Creta</t>
        </is>
      </c>
      <c r="D312" s="199" t="inlineStr">
        <is>
          <t>Creta SX Tech</t>
        </is>
      </c>
      <c r="E312" s="200" t="inlineStr">
        <is>
          <t>Titanium Black</t>
        </is>
      </c>
    </row>
    <row r="313" ht="15" customHeight="1">
      <c r="A313" s="196" t="n">
        <v>309</v>
      </c>
      <c r="B313" s="197" t="inlineStr">
        <is>
          <t>Hyundai</t>
        </is>
      </c>
      <c r="C313" s="198" t="inlineStr">
        <is>
          <t>Exter</t>
        </is>
      </c>
      <c r="D313" s="199" t="inlineStr">
        <is>
          <t>Exter HX 10</t>
        </is>
      </c>
      <c r="E313" s="200" t="inlineStr">
        <is>
          <t>Atlas White</t>
        </is>
      </c>
    </row>
    <row r="314" ht="15" customHeight="1">
      <c r="A314" s="196" t="n">
        <v>310</v>
      </c>
      <c r="B314" s="197" t="inlineStr">
        <is>
          <t>Hyundai</t>
        </is>
      </c>
      <c r="C314" s="198" t="inlineStr">
        <is>
          <t>Exter</t>
        </is>
      </c>
      <c r="D314" s="199" t="inlineStr">
        <is>
          <t>Exter HX 10</t>
        </is>
      </c>
      <c r="E314" s="200" t="inlineStr">
        <is>
          <t>Golden Bronze</t>
        </is>
      </c>
    </row>
    <row r="315" ht="15" customHeight="1">
      <c r="A315" s="196" t="n">
        <v>311</v>
      </c>
      <c r="B315" s="197" t="inlineStr">
        <is>
          <t>Hyundai</t>
        </is>
      </c>
      <c r="C315" s="198" t="inlineStr">
        <is>
          <t>Exter</t>
        </is>
      </c>
      <c r="D315" s="199" t="inlineStr">
        <is>
          <t>Exter HX 10</t>
        </is>
      </c>
      <c r="E315" s="200" t="inlineStr">
        <is>
          <t>Ranger Khaki</t>
        </is>
      </c>
    </row>
    <row r="316" ht="15" customHeight="1">
      <c r="A316" s="196" t="n">
        <v>312</v>
      </c>
      <c r="B316" s="197" t="inlineStr">
        <is>
          <t>Hyundai</t>
        </is>
      </c>
      <c r="C316" s="198" t="inlineStr">
        <is>
          <t>Exter</t>
        </is>
      </c>
      <c r="D316" s="199" t="inlineStr">
        <is>
          <t>Exter HX 10</t>
        </is>
      </c>
      <c r="E316" s="200" t="inlineStr">
        <is>
          <t>Starry Night</t>
        </is>
      </c>
    </row>
    <row r="317" ht="15" customHeight="1">
      <c r="A317" s="196" t="n">
        <v>313</v>
      </c>
      <c r="B317" s="197" t="inlineStr">
        <is>
          <t>Hyundai</t>
        </is>
      </c>
      <c r="C317" s="198" t="inlineStr">
        <is>
          <t>Exter</t>
        </is>
      </c>
      <c r="D317" s="199" t="inlineStr">
        <is>
          <t>Exter HX 10</t>
        </is>
      </c>
      <c r="E317" s="200" t="inlineStr">
        <is>
          <t>Titan Grey</t>
        </is>
      </c>
    </row>
    <row r="318" ht="15" customHeight="1">
      <c r="A318" s="196" t="n">
        <v>314</v>
      </c>
      <c r="B318" s="197" t="inlineStr">
        <is>
          <t>Hyundai</t>
        </is>
      </c>
      <c r="C318" s="198" t="inlineStr">
        <is>
          <t>Exter</t>
        </is>
      </c>
      <c r="D318" s="199" t="inlineStr">
        <is>
          <t>Exter HX 10</t>
        </is>
      </c>
      <c r="E318" s="200" t="inlineStr">
        <is>
          <t>Titanium Black</t>
        </is>
      </c>
    </row>
    <row r="319" ht="15" customHeight="1">
      <c r="A319" s="196" t="n">
        <v>315</v>
      </c>
      <c r="B319" s="197" t="inlineStr">
        <is>
          <t>Hyundai</t>
        </is>
      </c>
      <c r="C319" s="198" t="inlineStr">
        <is>
          <t>Exter</t>
        </is>
      </c>
      <c r="D319" s="199" t="inlineStr">
        <is>
          <t>Exter HX 10</t>
        </is>
      </c>
      <c r="E319" s="200" t="inlineStr">
        <is>
          <t>Titanium Black Matte</t>
        </is>
      </c>
    </row>
    <row r="320" ht="15" customHeight="1">
      <c r="A320" s="196" t="n">
        <v>316</v>
      </c>
      <c r="B320" s="197" t="inlineStr">
        <is>
          <t>Hyundai</t>
        </is>
      </c>
      <c r="C320" s="198" t="inlineStr">
        <is>
          <t>Exter</t>
        </is>
      </c>
      <c r="D320" s="199" t="inlineStr">
        <is>
          <t>Exter HX 2</t>
        </is>
      </c>
      <c r="E320" s="200" t="inlineStr">
        <is>
          <t>Atlas White</t>
        </is>
      </c>
    </row>
    <row r="321" ht="15" customHeight="1">
      <c r="A321" s="196" t="n">
        <v>317</v>
      </c>
      <c r="B321" s="197" t="inlineStr">
        <is>
          <t>Hyundai</t>
        </is>
      </c>
      <c r="C321" s="198" t="inlineStr">
        <is>
          <t>Exter</t>
        </is>
      </c>
      <c r="D321" s="199" t="inlineStr">
        <is>
          <t>Exter HX 2</t>
        </is>
      </c>
      <c r="E321" s="200" t="inlineStr">
        <is>
          <t>Golden Bronze</t>
        </is>
      </c>
    </row>
    <row r="322" ht="15" customHeight="1">
      <c r="A322" s="196" t="n">
        <v>318</v>
      </c>
      <c r="B322" s="197" t="inlineStr">
        <is>
          <t>Hyundai</t>
        </is>
      </c>
      <c r="C322" s="198" t="inlineStr">
        <is>
          <t>Exter</t>
        </is>
      </c>
      <c r="D322" s="199" t="inlineStr">
        <is>
          <t>Exter HX 2</t>
        </is>
      </c>
      <c r="E322" s="200" t="inlineStr">
        <is>
          <t>Ranger Khaki</t>
        </is>
      </c>
    </row>
    <row r="323" ht="15" customHeight="1">
      <c r="A323" s="196" t="n">
        <v>319</v>
      </c>
      <c r="B323" s="197" t="inlineStr">
        <is>
          <t>Hyundai</t>
        </is>
      </c>
      <c r="C323" s="198" t="inlineStr">
        <is>
          <t>Exter</t>
        </is>
      </c>
      <c r="D323" s="199" t="inlineStr">
        <is>
          <t>Exter HX 2</t>
        </is>
      </c>
      <c r="E323" s="200" t="inlineStr">
        <is>
          <t>Starry Night</t>
        </is>
      </c>
    </row>
    <row r="324" ht="15" customHeight="1">
      <c r="A324" s="196" t="n">
        <v>320</v>
      </c>
      <c r="B324" s="197" t="inlineStr">
        <is>
          <t>Hyundai</t>
        </is>
      </c>
      <c r="C324" s="198" t="inlineStr">
        <is>
          <t>Exter</t>
        </is>
      </c>
      <c r="D324" s="199" t="inlineStr">
        <is>
          <t>Exter HX 2</t>
        </is>
      </c>
      <c r="E324" s="200" t="inlineStr">
        <is>
          <t>Titan Grey</t>
        </is>
      </c>
    </row>
    <row r="325" ht="15" customHeight="1">
      <c r="A325" s="196" t="n">
        <v>321</v>
      </c>
      <c r="B325" s="197" t="inlineStr">
        <is>
          <t>Hyundai</t>
        </is>
      </c>
      <c r="C325" s="198" t="inlineStr">
        <is>
          <t>Exter</t>
        </is>
      </c>
      <c r="D325" s="199" t="inlineStr">
        <is>
          <t>Exter HX 2</t>
        </is>
      </c>
      <c r="E325" s="200" t="inlineStr">
        <is>
          <t>Titanium Black</t>
        </is>
      </c>
    </row>
    <row r="326" ht="15" customHeight="1">
      <c r="A326" s="196" t="n">
        <v>322</v>
      </c>
      <c r="B326" s="197" t="inlineStr">
        <is>
          <t>Hyundai</t>
        </is>
      </c>
      <c r="C326" s="198" t="inlineStr">
        <is>
          <t>Exter</t>
        </is>
      </c>
      <c r="D326" s="199" t="inlineStr">
        <is>
          <t>Exter HX 2</t>
        </is>
      </c>
      <c r="E326" s="200" t="inlineStr">
        <is>
          <t>Titanium Black Matte</t>
        </is>
      </c>
    </row>
    <row r="327" ht="15" customHeight="1">
      <c r="A327" s="196" t="n">
        <v>323</v>
      </c>
      <c r="B327" s="197" t="inlineStr">
        <is>
          <t>Hyundai</t>
        </is>
      </c>
      <c r="C327" s="198" t="inlineStr">
        <is>
          <t>Exter</t>
        </is>
      </c>
      <c r="D327" s="199" t="inlineStr">
        <is>
          <t>Exter HX 3</t>
        </is>
      </c>
      <c r="E327" s="200" t="inlineStr">
        <is>
          <t>Atlas White</t>
        </is>
      </c>
    </row>
    <row r="328" ht="15" customHeight="1">
      <c r="A328" s="196" t="n">
        <v>324</v>
      </c>
      <c r="B328" s="197" t="inlineStr">
        <is>
          <t>Hyundai</t>
        </is>
      </c>
      <c r="C328" s="198" t="inlineStr">
        <is>
          <t>Exter</t>
        </is>
      </c>
      <c r="D328" s="199" t="inlineStr">
        <is>
          <t>Exter HX 3</t>
        </is>
      </c>
      <c r="E328" s="200" t="inlineStr">
        <is>
          <t>Golden Bronze</t>
        </is>
      </c>
    </row>
    <row r="329" ht="15" customHeight="1">
      <c r="A329" s="196" t="n">
        <v>325</v>
      </c>
      <c r="B329" s="197" t="inlineStr">
        <is>
          <t>Hyundai</t>
        </is>
      </c>
      <c r="C329" s="198" t="inlineStr">
        <is>
          <t>Exter</t>
        </is>
      </c>
      <c r="D329" s="199" t="inlineStr">
        <is>
          <t>Exter HX 3</t>
        </is>
      </c>
      <c r="E329" s="200" t="inlineStr">
        <is>
          <t>Ranger Khaki</t>
        </is>
      </c>
    </row>
    <row r="330" ht="15" customHeight="1">
      <c r="A330" s="196" t="n">
        <v>326</v>
      </c>
      <c r="B330" s="197" t="inlineStr">
        <is>
          <t>Hyundai</t>
        </is>
      </c>
      <c r="C330" s="198" t="inlineStr">
        <is>
          <t>Exter</t>
        </is>
      </c>
      <c r="D330" s="199" t="inlineStr">
        <is>
          <t>Exter HX 3</t>
        </is>
      </c>
      <c r="E330" s="200" t="inlineStr">
        <is>
          <t>Starry Night</t>
        </is>
      </c>
    </row>
    <row r="331" ht="15" customHeight="1">
      <c r="A331" s="196" t="n">
        <v>327</v>
      </c>
      <c r="B331" s="197" t="inlineStr">
        <is>
          <t>Hyundai</t>
        </is>
      </c>
      <c r="C331" s="198" t="inlineStr">
        <is>
          <t>Exter</t>
        </is>
      </c>
      <c r="D331" s="199" t="inlineStr">
        <is>
          <t>Exter HX 3</t>
        </is>
      </c>
      <c r="E331" s="200" t="inlineStr">
        <is>
          <t>Titan Grey</t>
        </is>
      </c>
    </row>
    <row r="332" ht="15" customHeight="1">
      <c r="A332" s="196" t="n">
        <v>328</v>
      </c>
      <c r="B332" s="197" t="inlineStr">
        <is>
          <t>Hyundai</t>
        </is>
      </c>
      <c r="C332" s="198" t="inlineStr">
        <is>
          <t>Exter</t>
        </is>
      </c>
      <c r="D332" s="199" t="inlineStr">
        <is>
          <t>Exter HX 3</t>
        </is>
      </c>
      <c r="E332" s="200" t="inlineStr">
        <is>
          <t>Titanium Black</t>
        </is>
      </c>
    </row>
    <row r="333" ht="15" customHeight="1">
      <c r="A333" s="196" t="n">
        <v>329</v>
      </c>
      <c r="B333" s="197" t="inlineStr">
        <is>
          <t>Hyundai</t>
        </is>
      </c>
      <c r="C333" s="198" t="inlineStr">
        <is>
          <t>Exter</t>
        </is>
      </c>
      <c r="D333" s="199" t="inlineStr">
        <is>
          <t>Exter HX 3</t>
        </is>
      </c>
      <c r="E333" s="200" t="inlineStr">
        <is>
          <t>Titanium Black Matte</t>
        </is>
      </c>
    </row>
    <row r="334" ht="15" customHeight="1">
      <c r="A334" s="196" t="n">
        <v>330</v>
      </c>
      <c r="B334" s="197" t="inlineStr">
        <is>
          <t>Hyundai</t>
        </is>
      </c>
      <c r="C334" s="198" t="inlineStr">
        <is>
          <t>Exter</t>
        </is>
      </c>
      <c r="D334" s="199" t="inlineStr">
        <is>
          <t>Exter HX 4</t>
        </is>
      </c>
      <c r="E334" s="200" t="inlineStr">
        <is>
          <t>Atlas White</t>
        </is>
      </c>
    </row>
    <row r="335" ht="15" customHeight="1">
      <c r="A335" s="196" t="n">
        <v>331</v>
      </c>
      <c r="B335" s="197" t="inlineStr">
        <is>
          <t>Hyundai</t>
        </is>
      </c>
      <c r="C335" s="198" t="inlineStr">
        <is>
          <t>Exter</t>
        </is>
      </c>
      <c r="D335" s="199" t="inlineStr">
        <is>
          <t>Exter HX 4</t>
        </is>
      </c>
      <c r="E335" s="200" t="inlineStr">
        <is>
          <t>Golden Bronze</t>
        </is>
      </c>
    </row>
    <row r="336" ht="15" customHeight="1">
      <c r="A336" s="196" t="n">
        <v>332</v>
      </c>
      <c r="B336" s="197" t="inlineStr">
        <is>
          <t>Hyundai</t>
        </is>
      </c>
      <c r="C336" s="198" t="inlineStr">
        <is>
          <t>Exter</t>
        </is>
      </c>
      <c r="D336" s="199" t="inlineStr">
        <is>
          <t>Exter HX 4</t>
        </is>
      </c>
      <c r="E336" s="200" t="inlineStr">
        <is>
          <t>Ranger Khaki</t>
        </is>
      </c>
    </row>
    <row r="337" ht="15" customHeight="1">
      <c r="A337" s="196" t="n">
        <v>333</v>
      </c>
      <c r="B337" s="197" t="inlineStr">
        <is>
          <t>Hyundai</t>
        </is>
      </c>
      <c r="C337" s="198" t="inlineStr">
        <is>
          <t>Exter</t>
        </is>
      </c>
      <c r="D337" s="199" t="inlineStr">
        <is>
          <t>Exter HX 4</t>
        </is>
      </c>
      <c r="E337" s="200" t="inlineStr">
        <is>
          <t>Starry Night</t>
        </is>
      </c>
    </row>
    <row r="338" ht="15" customHeight="1">
      <c r="A338" s="196" t="n">
        <v>334</v>
      </c>
      <c r="B338" s="197" t="inlineStr">
        <is>
          <t>Hyundai</t>
        </is>
      </c>
      <c r="C338" s="198" t="inlineStr">
        <is>
          <t>Exter</t>
        </is>
      </c>
      <c r="D338" s="199" t="inlineStr">
        <is>
          <t>Exter HX 4</t>
        </is>
      </c>
      <c r="E338" s="200" t="inlineStr">
        <is>
          <t>Titan Grey</t>
        </is>
      </c>
    </row>
    <row r="339" ht="15" customHeight="1">
      <c r="A339" s="196" t="n">
        <v>335</v>
      </c>
      <c r="B339" s="197" t="inlineStr">
        <is>
          <t>Hyundai</t>
        </is>
      </c>
      <c r="C339" s="198" t="inlineStr">
        <is>
          <t>Exter</t>
        </is>
      </c>
      <c r="D339" s="199" t="inlineStr">
        <is>
          <t>Exter HX 4</t>
        </is>
      </c>
      <c r="E339" s="200" t="inlineStr">
        <is>
          <t>Titanium Black</t>
        </is>
      </c>
    </row>
    <row r="340" ht="15" customHeight="1">
      <c r="A340" s="196" t="n">
        <v>336</v>
      </c>
      <c r="B340" s="197" t="inlineStr">
        <is>
          <t>Hyundai</t>
        </is>
      </c>
      <c r="C340" s="198" t="inlineStr">
        <is>
          <t>Exter</t>
        </is>
      </c>
      <c r="D340" s="199" t="inlineStr">
        <is>
          <t>Exter HX 4</t>
        </is>
      </c>
      <c r="E340" s="200" t="inlineStr">
        <is>
          <t>Titanium Black Matte</t>
        </is>
      </c>
    </row>
    <row r="341" ht="15" customHeight="1">
      <c r="A341" s="196" t="n">
        <v>337</v>
      </c>
      <c r="B341" s="197" t="inlineStr">
        <is>
          <t>Hyundai</t>
        </is>
      </c>
      <c r="C341" s="198" t="inlineStr">
        <is>
          <t>Exter</t>
        </is>
      </c>
      <c r="D341" s="199" t="inlineStr">
        <is>
          <t>Exter HX 4 Plus</t>
        </is>
      </c>
      <c r="E341" s="200" t="inlineStr">
        <is>
          <t>Atlas White</t>
        </is>
      </c>
    </row>
    <row r="342" ht="15" customHeight="1">
      <c r="A342" s="196" t="n">
        <v>338</v>
      </c>
      <c r="B342" s="197" t="inlineStr">
        <is>
          <t>Hyundai</t>
        </is>
      </c>
      <c r="C342" s="198" t="inlineStr">
        <is>
          <t>Exter</t>
        </is>
      </c>
      <c r="D342" s="199" t="inlineStr">
        <is>
          <t>Exter HX 4 Plus</t>
        </is>
      </c>
      <c r="E342" s="200" t="inlineStr">
        <is>
          <t>Golden Bronze</t>
        </is>
      </c>
    </row>
    <row r="343" ht="15" customHeight="1">
      <c r="A343" s="196" t="n">
        <v>339</v>
      </c>
      <c r="B343" s="197" t="inlineStr">
        <is>
          <t>Hyundai</t>
        </is>
      </c>
      <c r="C343" s="198" t="inlineStr">
        <is>
          <t>Exter</t>
        </is>
      </c>
      <c r="D343" s="199" t="inlineStr">
        <is>
          <t>Exter HX 4 Plus</t>
        </is>
      </c>
      <c r="E343" s="200" t="inlineStr">
        <is>
          <t>Ranger Khaki</t>
        </is>
      </c>
    </row>
    <row r="344" ht="15" customHeight="1">
      <c r="A344" s="196" t="n">
        <v>340</v>
      </c>
      <c r="B344" s="197" t="inlineStr">
        <is>
          <t>Hyundai</t>
        </is>
      </c>
      <c r="C344" s="198" t="inlineStr">
        <is>
          <t>Exter</t>
        </is>
      </c>
      <c r="D344" s="199" t="inlineStr">
        <is>
          <t>Exter HX 4 Plus</t>
        </is>
      </c>
      <c r="E344" s="200" t="inlineStr">
        <is>
          <t>Starry Night</t>
        </is>
      </c>
    </row>
    <row r="345" ht="15" customHeight="1">
      <c r="A345" s="196" t="n">
        <v>341</v>
      </c>
      <c r="B345" s="197" t="inlineStr">
        <is>
          <t>Hyundai</t>
        </is>
      </c>
      <c r="C345" s="198" t="inlineStr">
        <is>
          <t>Exter</t>
        </is>
      </c>
      <c r="D345" s="199" t="inlineStr">
        <is>
          <t>Exter HX 4 Plus</t>
        </is>
      </c>
      <c r="E345" s="200" t="inlineStr">
        <is>
          <t>Titan Grey</t>
        </is>
      </c>
    </row>
    <row r="346" ht="15" customHeight="1">
      <c r="A346" s="196" t="n">
        <v>342</v>
      </c>
      <c r="B346" s="197" t="inlineStr">
        <is>
          <t>Hyundai</t>
        </is>
      </c>
      <c r="C346" s="198" t="inlineStr">
        <is>
          <t>Exter</t>
        </is>
      </c>
      <c r="D346" s="199" t="inlineStr">
        <is>
          <t>Exter HX 4 Plus</t>
        </is>
      </c>
      <c r="E346" s="200" t="inlineStr">
        <is>
          <t>Titanium Black</t>
        </is>
      </c>
    </row>
    <row r="347" ht="15" customHeight="1">
      <c r="A347" s="196" t="n">
        <v>343</v>
      </c>
      <c r="B347" s="197" t="inlineStr">
        <is>
          <t>Hyundai</t>
        </is>
      </c>
      <c r="C347" s="198" t="inlineStr">
        <is>
          <t>Exter</t>
        </is>
      </c>
      <c r="D347" s="199" t="inlineStr">
        <is>
          <t>Exter HX 4 Plus</t>
        </is>
      </c>
      <c r="E347" s="200" t="inlineStr">
        <is>
          <t>Titanium Black Matte</t>
        </is>
      </c>
    </row>
    <row r="348" ht="15" customHeight="1">
      <c r="A348" s="196" t="n">
        <v>344</v>
      </c>
      <c r="B348" s="197" t="inlineStr">
        <is>
          <t>Hyundai</t>
        </is>
      </c>
      <c r="C348" s="198" t="inlineStr">
        <is>
          <t>Exter</t>
        </is>
      </c>
      <c r="D348" s="199" t="inlineStr">
        <is>
          <t>Exter HX 6</t>
        </is>
      </c>
      <c r="E348" s="200" t="inlineStr">
        <is>
          <t>Atlas White</t>
        </is>
      </c>
    </row>
    <row r="349" ht="15" customHeight="1">
      <c r="A349" s="196" t="n">
        <v>345</v>
      </c>
      <c r="B349" s="197" t="inlineStr">
        <is>
          <t>Hyundai</t>
        </is>
      </c>
      <c r="C349" s="198" t="inlineStr">
        <is>
          <t>Exter</t>
        </is>
      </c>
      <c r="D349" s="199" t="inlineStr">
        <is>
          <t>Exter HX 6</t>
        </is>
      </c>
      <c r="E349" s="200" t="inlineStr">
        <is>
          <t>Golden Bronze</t>
        </is>
      </c>
    </row>
    <row r="350" ht="15" customHeight="1">
      <c r="A350" s="196" t="n">
        <v>346</v>
      </c>
      <c r="B350" s="197" t="inlineStr">
        <is>
          <t>Hyundai</t>
        </is>
      </c>
      <c r="C350" s="198" t="inlineStr">
        <is>
          <t>Exter</t>
        </is>
      </c>
      <c r="D350" s="199" t="inlineStr">
        <is>
          <t>Exter HX 6</t>
        </is>
      </c>
      <c r="E350" s="200" t="inlineStr">
        <is>
          <t>Ranger Khaki</t>
        </is>
      </c>
    </row>
    <row r="351" ht="15" customHeight="1">
      <c r="A351" s="196" t="n">
        <v>347</v>
      </c>
      <c r="B351" s="197" t="inlineStr">
        <is>
          <t>Hyundai</t>
        </is>
      </c>
      <c r="C351" s="198" t="inlineStr">
        <is>
          <t>Exter</t>
        </is>
      </c>
      <c r="D351" s="199" t="inlineStr">
        <is>
          <t>Exter HX 6</t>
        </is>
      </c>
      <c r="E351" s="200" t="inlineStr">
        <is>
          <t>Starry Night</t>
        </is>
      </c>
    </row>
    <row r="352" ht="15" customHeight="1">
      <c r="A352" s="196" t="n">
        <v>348</v>
      </c>
      <c r="B352" s="197" t="inlineStr">
        <is>
          <t>Hyundai</t>
        </is>
      </c>
      <c r="C352" s="198" t="inlineStr">
        <is>
          <t>Exter</t>
        </is>
      </c>
      <c r="D352" s="199" t="inlineStr">
        <is>
          <t>Exter HX 6</t>
        </is>
      </c>
      <c r="E352" s="200" t="inlineStr">
        <is>
          <t>Titan Grey</t>
        </is>
      </c>
    </row>
    <row r="353" ht="15" customHeight="1">
      <c r="A353" s="196" t="n">
        <v>349</v>
      </c>
      <c r="B353" s="197" t="inlineStr">
        <is>
          <t>Hyundai</t>
        </is>
      </c>
      <c r="C353" s="198" t="inlineStr">
        <is>
          <t>Exter</t>
        </is>
      </c>
      <c r="D353" s="199" t="inlineStr">
        <is>
          <t>Exter HX 6</t>
        </is>
      </c>
      <c r="E353" s="200" t="inlineStr">
        <is>
          <t>Titanium Black</t>
        </is>
      </c>
    </row>
    <row r="354" ht="15" customHeight="1">
      <c r="A354" s="196" t="n">
        <v>350</v>
      </c>
      <c r="B354" s="197" t="inlineStr">
        <is>
          <t>Hyundai</t>
        </is>
      </c>
      <c r="C354" s="198" t="inlineStr">
        <is>
          <t>Exter</t>
        </is>
      </c>
      <c r="D354" s="199" t="inlineStr">
        <is>
          <t>Exter HX 6</t>
        </is>
      </c>
      <c r="E354" s="200" t="inlineStr">
        <is>
          <t>Titanium Black Matte</t>
        </is>
      </c>
    </row>
    <row r="355" ht="15" customHeight="1">
      <c r="A355" s="196" t="n">
        <v>351</v>
      </c>
      <c r="B355" s="197" t="inlineStr">
        <is>
          <t>Hyundai</t>
        </is>
      </c>
      <c r="C355" s="198" t="inlineStr">
        <is>
          <t>Exter</t>
        </is>
      </c>
      <c r="D355" s="199" t="inlineStr">
        <is>
          <t>Exter HX 8</t>
        </is>
      </c>
      <c r="E355" s="200" t="inlineStr">
        <is>
          <t>Atlas White</t>
        </is>
      </c>
    </row>
    <row r="356" ht="15" customHeight="1">
      <c r="A356" s="196" t="n">
        <v>352</v>
      </c>
      <c r="B356" s="197" t="inlineStr">
        <is>
          <t>Hyundai</t>
        </is>
      </c>
      <c r="C356" s="198" t="inlineStr">
        <is>
          <t>Exter</t>
        </is>
      </c>
      <c r="D356" s="199" t="inlineStr">
        <is>
          <t>Exter HX 8</t>
        </is>
      </c>
      <c r="E356" s="200" t="inlineStr">
        <is>
          <t>Golden Bronze</t>
        </is>
      </c>
    </row>
    <row r="357" ht="15" customHeight="1">
      <c r="A357" s="196" t="n">
        <v>353</v>
      </c>
      <c r="B357" s="197" t="inlineStr">
        <is>
          <t>Hyundai</t>
        </is>
      </c>
      <c r="C357" s="198" t="inlineStr">
        <is>
          <t>Exter</t>
        </is>
      </c>
      <c r="D357" s="199" t="inlineStr">
        <is>
          <t>Exter HX 8</t>
        </is>
      </c>
      <c r="E357" s="200" t="inlineStr">
        <is>
          <t>Ranger Khaki</t>
        </is>
      </c>
    </row>
    <row r="358" ht="15" customHeight="1">
      <c r="A358" s="196" t="n">
        <v>354</v>
      </c>
      <c r="B358" s="197" t="inlineStr">
        <is>
          <t>Hyundai</t>
        </is>
      </c>
      <c r="C358" s="198" t="inlineStr">
        <is>
          <t>Exter</t>
        </is>
      </c>
      <c r="D358" s="199" t="inlineStr">
        <is>
          <t>Exter HX 8</t>
        </is>
      </c>
      <c r="E358" s="200" t="inlineStr">
        <is>
          <t>Starry Night</t>
        </is>
      </c>
    </row>
    <row r="359" ht="15" customHeight="1">
      <c r="A359" s="196" t="n">
        <v>355</v>
      </c>
      <c r="B359" s="197" t="inlineStr">
        <is>
          <t>Hyundai</t>
        </is>
      </c>
      <c r="C359" s="198" t="inlineStr">
        <is>
          <t>Exter</t>
        </is>
      </c>
      <c r="D359" s="199" t="inlineStr">
        <is>
          <t>Exter HX 8</t>
        </is>
      </c>
      <c r="E359" s="200" t="inlineStr">
        <is>
          <t>Titan Grey</t>
        </is>
      </c>
    </row>
    <row r="360" ht="15" customHeight="1">
      <c r="A360" s="196" t="n">
        <v>356</v>
      </c>
      <c r="B360" s="197" t="inlineStr">
        <is>
          <t>Hyundai</t>
        </is>
      </c>
      <c r="C360" s="198" t="inlineStr">
        <is>
          <t>Exter</t>
        </is>
      </c>
      <c r="D360" s="199" t="inlineStr">
        <is>
          <t>Exter HX 8</t>
        </is>
      </c>
      <c r="E360" s="200" t="inlineStr">
        <is>
          <t>Titanium Black</t>
        </is>
      </c>
    </row>
    <row r="361" ht="15" customHeight="1">
      <c r="A361" s="196" t="n">
        <v>357</v>
      </c>
      <c r="B361" s="197" t="inlineStr">
        <is>
          <t>Hyundai</t>
        </is>
      </c>
      <c r="C361" s="198" t="inlineStr">
        <is>
          <t>Exter</t>
        </is>
      </c>
      <c r="D361" s="199" t="inlineStr">
        <is>
          <t>Exter HX 8</t>
        </is>
      </c>
      <c r="E361" s="200" t="inlineStr">
        <is>
          <t>Titanium Black Matte</t>
        </is>
      </c>
    </row>
    <row r="362" ht="15" customHeight="1">
      <c r="A362" s="196" t="n">
        <v>358</v>
      </c>
      <c r="B362" s="197" t="inlineStr">
        <is>
          <t>Hyundai</t>
        </is>
      </c>
      <c r="C362" s="198" t="inlineStr">
        <is>
          <t>Grand i10 Nios</t>
        </is>
      </c>
      <c r="D362" s="199" t="inlineStr">
        <is>
          <t>Grand i10 Nios Asta</t>
        </is>
      </c>
      <c r="E362" s="200" t="inlineStr">
        <is>
          <t>Fiery Red</t>
        </is>
      </c>
    </row>
    <row r="363" ht="15" customHeight="1">
      <c r="A363" s="196" t="n">
        <v>359</v>
      </c>
      <c r="B363" s="197" t="inlineStr">
        <is>
          <t>Hyundai</t>
        </is>
      </c>
      <c r="C363" s="198" t="inlineStr">
        <is>
          <t>Grand i10 Nios</t>
        </is>
      </c>
      <c r="D363" s="199" t="inlineStr">
        <is>
          <t>Grand i10 Nios Asta</t>
        </is>
      </c>
      <c r="E363" s="200" t="inlineStr">
        <is>
          <t>Spark Green</t>
        </is>
      </c>
    </row>
    <row r="364" ht="15" customHeight="1">
      <c r="A364" s="196" t="n">
        <v>360</v>
      </c>
      <c r="B364" s="197" t="inlineStr">
        <is>
          <t>Hyundai</t>
        </is>
      </c>
      <c r="C364" s="198" t="inlineStr">
        <is>
          <t>Grand i10 Nios</t>
        </is>
      </c>
      <c r="D364" s="199" t="inlineStr">
        <is>
          <t>Grand i10 Nios Asta</t>
        </is>
      </c>
      <c r="E364" s="200" t="inlineStr">
        <is>
          <t>Teal Blue</t>
        </is>
      </c>
    </row>
    <row r="365" ht="15" customHeight="1">
      <c r="A365" s="196" t="n">
        <v>361</v>
      </c>
      <c r="B365" s="197" t="inlineStr">
        <is>
          <t>Hyundai</t>
        </is>
      </c>
      <c r="C365" s="198" t="inlineStr">
        <is>
          <t>Grand i10 Nios</t>
        </is>
      </c>
      <c r="D365" s="199" t="inlineStr">
        <is>
          <t>Grand i10 Nios Asta</t>
        </is>
      </c>
      <c r="E365" s="200" t="inlineStr">
        <is>
          <t>Titan Grey</t>
        </is>
      </c>
    </row>
    <row r="366" ht="15" customHeight="1">
      <c r="A366" s="196" t="n">
        <v>362</v>
      </c>
      <c r="B366" s="197" t="inlineStr">
        <is>
          <t>Hyundai</t>
        </is>
      </c>
      <c r="C366" s="198" t="inlineStr">
        <is>
          <t>Grand i10 Nios</t>
        </is>
      </c>
      <c r="D366" s="199" t="inlineStr">
        <is>
          <t>Grand i10 Nios Asta</t>
        </is>
      </c>
      <c r="E366" s="200" t="inlineStr">
        <is>
          <t>Typhoon Silver</t>
        </is>
      </c>
    </row>
    <row r="367" ht="15" customHeight="1">
      <c r="A367" s="196" t="n">
        <v>363</v>
      </c>
      <c r="B367" s="197" t="inlineStr">
        <is>
          <t>Hyundai</t>
        </is>
      </c>
      <c r="C367" s="198" t="inlineStr">
        <is>
          <t>Grand i10 Nios</t>
        </is>
      </c>
      <c r="D367" s="199" t="inlineStr">
        <is>
          <t>Grand i10 Nios Corporate</t>
        </is>
      </c>
      <c r="E367" s="200" t="inlineStr">
        <is>
          <t>Amazon Grey</t>
        </is>
      </c>
    </row>
    <row r="368" ht="15" customHeight="1">
      <c r="A368" s="196" t="n">
        <v>364</v>
      </c>
      <c r="B368" s="197" t="inlineStr">
        <is>
          <t>Hyundai</t>
        </is>
      </c>
      <c r="C368" s="198" t="inlineStr">
        <is>
          <t>Grand i10 Nios</t>
        </is>
      </c>
      <c r="D368" s="199" t="inlineStr">
        <is>
          <t>Grand i10 Nios Corporate</t>
        </is>
      </c>
      <c r="E368" s="200" t="inlineStr">
        <is>
          <t>Fiery Red</t>
        </is>
      </c>
    </row>
    <row r="369" ht="15" customHeight="1">
      <c r="A369" s="196" t="n">
        <v>365</v>
      </c>
      <c r="B369" s="197" t="inlineStr">
        <is>
          <t>Hyundai</t>
        </is>
      </c>
      <c r="C369" s="198" t="inlineStr">
        <is>
          <t>Grand i10 Nios</t>
        </is>
      </c>
      <c r="D369" s="199" t="inlineStr">
        <is>
          <t>Grand i10 Nios Corporate</t>
        </is>
      </c>
      <c r="E369" s="200" t="inlineStr">
        <is>
          <t>Spark Green</t>
        </is>
      </c>
    </row>
    <row r="370" ht="15" customHeight="1">
      <c r="A370" s="196" t="n">
        <v>366</v>
      </c>
      <c r="B370" s="197" t="inlineStr">
        <is>
          <t>Hyundai</t>
        </is>
      </c>
      <c r="C370" s="198" t="inlineStr">
        <is>
          <t>Grand i10 Nios</t>
        </is>
      </c>
      <c r="D370" s="199" t="inlineStr">
        <is>
          <t>Grand i10 Nios Corporate</t>
        </is>
      </c>
      <c r="E370" s="200" t="inlineStr">
        <is>
          <t>Teal Blue</t>
        </is>
      </c>
    </row>
    <row r="371" ht="15" customHeight="1">
      <c r="A371" s="196" t="n">
        <v>367</v>
      </c>
      <c r="B371" s="197" t="inlineStr">
        <is>
          <t>Hyundai</t>
        </is>
      </c>
      <c r="C371" s="198" t="inlineStr">
        <is>
          <t>Grand i10 Nios</t>
        </is>
      </c>
      <c r="D371" s="199" t="inlineStr">
        <is>
          <t>Grand i10 Nios Corporate</t>
        </is>
      </c>
      <c r="E371" s="200" t="inlineStr">
        <is>
          <t>Titan Grey</t>
        </is>
      </c>
    </row>
    <row r="372" ht="15" customHeight="1">
      <c r="A372" s="196" t="n">
        <v>368</v>
      </c>
      <c r="B372" s="197" t="inlineStr">
        <is>
          <t>Hyundai</t>
        </is>
      </c>
      <c r="C372" s="198" t="inlineStr">
        <is>
          <t>Grand i10 Nios</t>
        </is>
      </c>
      <c r="D372" s="199" t="inlineStr">
        <is>
          <t>Grand i10 Nios Corporate</t>
        </is>
      </c>
      <c r="E372" s="200" t="inlineStr">
        <is>
          <t>Typhoon Silver</t>
        </is>
      </c>
    </row>
    <row r="373" ht="15" customHeight="1">
      <c r="A373" s="196" t="n">
        <v>369</v>
      </c>
      <c r="B373" s="197" t="inlineStr">
        <is>
          <t>Hyundai</t>
        </is>
      </c>
      <c r="C373" s="198" t="inlineStr">
        <is>
          <t>Grand i10 Nios</t>
        </is>
      </c>
      <c r="D373" s="199" t="inlineStr">
        <is>
          <t>Grand i10 Nios Era</t>
        </is>
      </c>
      <c r="E373" s="200" t="inlineStr">
        <is>
          <t>Titan Grey</t>
        </is>
      </c>
    </row>
    <row r="374" ht="15" customHeight="1">
      <c r="A374" s="196" t="n">
        <v>370</v>
      </c>
      <c r="B374" s="197" t="inlineStr">
        <is>
          <t>Hyundai</t>
        </is>
      </c>
      <c r="C374" s="198" t="inlineStr">
        <is>
          <t>Grand i10 Nios</t>
        </is>
      </c>
      <c r="D374" s="199" t="inlineStr">
        <is>
          <t>Grand i10 Nios Magna</t>
        </is>
      </c>
      <c r="E374" s="200" t="inlineStr">
        <is>
          <t>Fiery Red</t>
        </is>
      </c>
    </row>
    <row r="375" ht="15" customHeight="1">
      <c r="A375" s="196" t="n">
        <v>371</v>
      </c>
      <c r="B375" s="197" t="inlineStr">
        <is>
          <t>Hyundai</t>
        </is>
      </c>
      <c r="C375" s="198" t="inlineStr">
        <is>
          <t>Grand i10 Nios</t>
        </is>
      </c>
      <c r="D375" s="199" t="inlineStr">
        <is>
          <t>Grand i10 Nios Magna</t>
        </is>
      </c>
      <c r="E375" s="200" t="inlineStr">
        <is>
          <t>Spark Green</t>
        </is>
      </c>
    </row>
    <row r="376" ht="15" customHeight="1">
      <c r="A376" s="196" t="n">
        <v>372</v>
      </c>
      <c r="B376" s="197" t="inlineStr">
        <is>
          <t>Hyundai</t>
        </is>
      </c>
      <c r="C376" s="198" t="inlineStr">
        <is>
          <t>Grand i10 Nios</t>
        </is>
      </c>
      <c r="D376" s="199" t="inlineStr">
        <is>
          <t>Grand i10 Nios Magna</t>
        </is>
      </c>
      <c r="E376" s="200" t="inlineStr">
        <is>
          <t>Teal Blue</t>
        </is>
      </c>
    </row>
    <row r="377" ht="15" customHeight="1">
      <c r="A377" s="196" t="n">
        <v>373</v>
      </c>
      <c r="B377" s="197" t="inlineStr">
        <is>
          <t>Hyundai</t>
        </is>
      </c>
      <c r="C377" s="198" t="inlineStr">
        <is>
          <t>Grand i10 Nios</t>
        </is>
      </c>
      <c r="D377" s="199" t="inlineStr">
        <is>
          <t>Grand i10 Nios Magna</t>
        </is>
      </c>
      <c r="E377" s="200" t="inlineStr">
        <is>
          <t>Titan Grey</t>
        </is>
      </c>
    </row>
    <row r="378" ht="15" customHeight="1">
      <c r="A378" s="196" t="n">
        <v>374</v>
      </c>
      <c r="B378" s="197" t="inlineStr">
        <is>
          <t>Hyundai</t>
        </is>
      </c>
      <c r="C378" s="198" t="inlineStr">
        <is>
          <t>Grand i10 Nios</t>
        </is>
      </c>
      <c r="D378" s="199" t="inlineStr">
        <is>
          <t>Grand i10 Nios Magna</t>
        </is>
      </c>
      <c r="E378" s="200" t="inlineStr">
        <is>
          <t>Typhoon Silver</t>
        </is>
      </c>
    </row>
    <row r="379" ht="15" customHeight="1">
      <c r="A379" s="196" t="n">
        <v>375</v>
      </c>
      <c r="B379" s="197" t="inlineStr">
        <is>
          <t>Hyundai</t>
        </is>
      </c>
      <c r="C379" s="198" t="inlineStr">
        <is>
          <t>Grand i10 Nios</t>
        </is>
      </c>
      <c r="D379" s="199" t="inlineStr">
        <is>
          <t>Grand i10 Nios Sportz</t>
        </is>
      </c>
      <c r="E379" s="200" t="inlineStr">
        <is>
          <t>Fiery Red</t>
        </is>
      </c>
    </row>
    <row r="380" ht="15" customHeight="1">
      <c r="A380" s="196" t="n">
        <v>376</v>
      </c>
      <c r="B380" s="197" t="inlineStr">
        <is>
          <t>Hyundai</t>
        </is>
      </c>
      <c r="C380" s="198" t="inlineStr">
        <is>
          <t>Grand i10 Nios</t>
        </is>
      </c>
      <c r="D380" s="199" t="inlineStr">
        <is>
          <t>Grand i10 Nios Sportz</t>
        </is>
      </c>
      <c r="E380" s="200" t="inlineStr">
        <is>
          <t>Spark Green</t>
        </is>
      </c>
    </row>
    <row r="381" ht="15" customHeight="1">
      <c r="A381" s="196" t="n">
        <v>377</v>
      </c>
      <c r="B381" s="197" t="inlineStr">
        <is>
          <t>Hyundai</t>
        </is>
      </c>
      <c r="C381" s="198" t="inlineStr">
        <is>
          <t>Grand i10 Nios</t>
        </is>
      </c>
      <c r="D381" s="199" t="inlineStr">
        <is>
          <t>Grand i10 Nios Sportz</t>
        </is>
      </c>
      <c r="E381" s="200" t="inlineStr">
        <is>
          <t>Teal Blue</t>
        </is>
      </c>
    </row>
    <row r="382" ht="15" customHeight="1">
      <c r="A382" s="196" t="n">
        <v>378</v>
      </c>
      <c r="B382" s="197" t="inlineStr">
        <is>
          <t>Hyundai</t>
        </is>
      </c>
      <c r="C382" s="198" t="inlineStr">
        <is>
          <t>Grand i10 Nios</t>
        </is>
      </c>
      <c r="D382" s="199" t="inlineStr">
        <is>
          <t>Grand i10 Nios Sportz</t>
        </is>
      </c>
      <c r="E382" s="200" t="inlineStr">
        <is>
          <t>Titan Grey</t>
        </is>
      </c>
    </row>
    <row r="383" ht="15" customHeight="1">
      <c r="A383" s="196" t="n">
        <v>379</v>
      </c>
      <c r="B383" s="197" t="inlineStr">
        <is>
          <t>Hyundai</t>
        </is>
      </c>
      <c r="C383" s="198" t="inlineStr">
        <is>
          <t>Grand i10 Nios</t>
        </is>
      </c>
      <c r="D383" s="199" t="inlineStr">
        <is>
          <t>Grand i10 Nios Sportz</t>
        </is>
      </c>
      <c r="E383" s="200" t="inlineStr">
        <is>
          <t>Typhoon Silver</t>
        </is>
      </c>
    </row>
    <row r="384" ht="15" customHeight="1">
      <c r="A384" s="196" t="n">
        <v>380</v>
      </c>
      <c r="B384" s="197" t="inlineStr">
        <is>
          <t>Hyundai</t>
        </is>
      </c>
      <c r="C384" s="198" t="inlineStr">
        <is>
          <t>Grand i10 Nios</t>
        </is>
      </c>
      <c r="D384" s="199" t="inlineStr">
        <is>
          <t>Grand i10 Nios Sportz (O)</t>
        </is>
      </c>
      <c r="E384" s="200" t="inlineStr">
        <is>
          <t>Fiery Red</t>
        </is>
      </c>
    </row>
    <row r="385" ht="15" customHeight="1">
      <c r="A385" s="196" t="n">
        <v>381</v>
      </c>
      <c r="B385" s="197" t="inlineStr">
        <is>
          <t>Hyundai</t>
        </is>
      </c>
      <c r="C385" s="198" t="inlineStr">
        <is>
          <t>Grand i10 Nios</t>
        </is>
      </c>
      <c r="D385" s="199" t="inlineStr">
        <is>
          <t>Grand i10 Nios Sportz (O)</t>
        </is>
      </c>
      <c r="E385" s="200" t="inlineStr">
        <is>
          <t>Spark Green</t>
        </is>
      </c>
    </row>
    <row r="386" ht="15" customHeight="1">
      <c r="A386" s="196" t="n">
        <v>382</v>
      </c>
      <c r="B386" s="197" t="inlineStr">
        <is>
          <t>Hyundai</t>
        </is>
      </c>
      <c r="C386" s="198" t="inlineStr">
        <is>
          <t>Grand i10 Nios</t>
        </is>
      </c>
      <c r="D386" s="199" t="inlineStr">
        <is>
          <t>Grand i10 Nios Sportz (O)</t>
        </is>
      </c>
      <c r="E386" s="200" t="inlineStr">
        <is>
          <t>Teal Blue</t>
        </is>
      </c>
    </row>
    <row r="387" ht="15" customHeight="1">
      <c r="A387" s="196" t="n">
        <v>383</v>
      </c>
      <c r="B387" s="197" t="inlineStr">
        <is>
          <t>Hyundai</t>
        </is>
      </c>
      <c r="C387" s="198" t="inlineStr">
        <is>
          <t>Grand i10 Nios</t>
        </is>
      </c>
      <c r="D387" s="199" t="inlineStr">
        <is>
          <t>Grand i10 Nios Sportz (O)</t>
        </is>
      </c>
      <c r="E387" s="200" t="inlineStr">
        <is>
          <t>Titan Grey</t>
        </is>
      </c>
    </row>
    <row r="388" ht="15" customHeight="1">
      <c r="A388" s="196" t="n">
        <v>384</v>
      </c>
      <c r="B388" s="197" t="inlineStr">
        <is>
          <t>Hyundai</t>
        </is>
      </c>
      <c r="C388" s="198" t="inlineStr">
        <is>
          <t>Grand i10 Nios</t>
        </is>
      </c>
      <c r="D388" s="199" t="inlineStr">
        <is>
          <t>Grand i10 Nios Sportz (O)</t>
        </is>
      </c>
      <c r="E388" s="200" t="inlineStr">
        <is>
          <t>Typhoon Silver</t>
        </is>
      </c>
    </row>
    <row r="389" ht="15" customHeight="1">
      <c r="A389" s="196" t="n">
        <v>385</v>
      </c>
      <c r="B389" s="197" t="inlineStr">
        <is>
          <t>Hyundai</t>
        </is>
      </c>
      <c r="C389" s="198" t="inlineStr">
        <is>
          <t>Venue</t>
        </is>
      </c>
      <c r="D389" s="199" t="inlineStr">
        <is>
          <t>Venue HX 10</t>
        </is>
      </c>
      <c r="E389" s="200" t="inlineStr">
        <is>
          <t>Atlas White</t>
        </is>
      </c>
    </row>
    <row r="390" ht="15" customHeight="1">
      <c r="A390" s="196" t="n">
        <v>386</v>
      </c>
      <c r="B390" s="197" t="inlineStr">
        <is>
          <t>Hyundai</t>
        </is>
      </c>
      <c r="C390" s="198" t="inlineStr">
        <is>
          <t>Venue</t>
        </is>
      </c>
      <c r="D390" s="199" t="inlineStr">
        <is>
          <t>Venue HX 10</t>
        </is>
      </c>
      <c r="E390" s="200" t="inlineStr">
        <is>
          <t>Dragon Red</t>
        </is>
      </c>
    </row>
    <row r="391" ht="15" customHeight="1">
      <c r="A391" s="196" t="n">
        <v>387</v>
      </c>
      <c r="B391" s="197" t="inlineStr">
        <is>
          <t>Hyundai</t>
        </is>
      </c>
      <c r="C391" s="198" t="inlineStr">
        <is>
          <t>Venue</t>
        </is>
      </c>
      <c r="D391" s="199" t="inlineStr">
        <is>
          <t>Venue HX 10</t>
        </is>
      </c>
      <c r="E391" s="200" t="inlineStr">
        <is>
          <t>Hazel Blue</t>
        </is>
      </c>
    </row>
    <row r="392" ht="15" customHeight="1">
      <c r="A392" s="196" t="n">
        <v>388</v>
      </c>
      <c r="B392" s="197" t="inlineStr">
        <is>
          <t>Hyundai</t>
        </is>
      </c>
      <c r="C392" s="198" t="inlineStr">
        <is>
          <t>Venue</t>
        </is>
      </c>
      <c r="D392" s="199" t="inlineStr">
        <is>
          <t>Venue HX 10</t>
        </is>
      </c>
      <c r="E392" s="200" t="inlineStr">
        <is>
          <t>Hazel Blue Matte</t>
        </is>
      </c>
    </row>
    <row r="393" ht="15" customHeight="1">
      <c r="A393" s="196" t="n">
        <v>389</v>
      </c>
      <c r="B393" s="197" t="inlineStr">
        <is>
          <t>Hyundai</t>
        </is>
      </c>
      <c r="C393" s="198" t="inlineStr">
        <is>
          <t>Venue</t>
        </is>
      </c>
      <c r="D393" s="199" t="inlineStr">
        <is>
          <t>Venue HX 10</t>
        </is>
      </c>
      <c r="E393" s="200" t="inlineStr">
        <is>
          <t>Mystic Sapphire</t>
        </is>
      </c>
    </row>
    <row r="394" ht="15" customHeight="1">
      <c r="A394" s="196" t="n">
        <v>390</v>
      </c>
      <c r="B394" s="197" t="inlineStr">
        <is>
          <t>Hyundai</t>
        </is>
      </c>
      <c r="C394" s="198" t="inlineStr">
        <is>
          <t>Venue</t>
        </is>
      </c>
      <c r="D394" s="199" t="inlineStr">
        <is>
          <t>Venue HX 10</t>
        </is>
      </c>
      <c r="E394" s="200" t="inlineStr">
        <is>
          <t>Mystic Sapphire Matte</t>
        </is>
      </c>
    </row>
    <row r="395" ht="15" customHeight="1">
      <c r="A395" s="196" t="n">
        <v>391</v>
      </c>
      <c r="B395" s="197" t="inlineStr">
        <is>
          <t>Hyundai</t>
        </is>
      </c>
      <c r="C395" s="198" t="inlineStr">
        <is>
          <t>Venue</t>
        </is>
      </c>
      <c r="D395" s="199" t="inlineStr">
        <is>
          <t>Venue HX 10</t>
        </is>
      </c>
      <c r="E395" s="200" t="inlineStr">
        <is>
          <t>Titan Grey</t>
        </is>
      </c>
    </row>
    <row r="396" ht="15" customHeight="1">
      <c r="A396" s="196" t="n">
        <v>392</v>
      </c>
      <c r="B396" s="197" t="inlineStr">
        <is>
          <t>Hyundai</t>
        </is>
      </c>
      <c r="C396" s="198" t="inlineStr">
        <is>
          <t>Venue</t>
        </is>
      </c>
      <c r="D396" s="199" t="inlineStr">
        <is>
          <t>Venue HX 10</t>
        </is>
      </c>
      <c r="E396" s="200" t="inlineStr">
        <is>
          <t>Titanium Black</t>
        </is>
      </c>
    </row>
    <row r="397" ht="15" customHeight="1">
      <c r="A397" s="196" t="n">
        <v>393</v>
      </c>
      <c r="B397" s="197" t="inlineStr">
        <is>
          <t>Hyundai</t>
        </is>
      </c>
      <c r="C397" s="198" t="inlineStr">
        <is>
          <t>Venue</t>
        </is>
      </c>
      <c r="D397" s="199" t="inlineStr">
        <is>
          <t>Venue HX 2</t>
        </is>
      </c>
      <c r="E397" s="200" t="inlineStr">
        <is>
          <t>Atlas White</t>
        </is>
      </c>
    </row>
    <row r="398" ht="15" customHeight="1">
      <c r="A398" s="196" t="n">
        <v>394</v>
      </c>
      <c r="B398" s="197" t="inlineStr">
        <is>
          <t>Hyundai</t>
        </is>
      </c>
      <c r="C398" s="198" t="inlineStr">
        <is>
          <t>Venue</t>
        </is>
      </c>
      <c r="D398" s="199" t="inlineStr">
        <is>
          <t>Venue HX 2</t>
        </is>
      </c>
      <c r="E398" s="200" t="inlineStr">
        <is>
          <t>Dragon Red</t>
        </is>
      </c>
    </row>
    <row r="399" ht="15" customHeight="1">
      <c r="A399" s="196" t="n">
        <v>395</v>
      </c>
      <c r="B399" s="197" t="inlineStr">
        <is>
          <t>Hyundai</t>
        </is>
      </c>
      <c r="C399" s="198" t="inlineStr">
        <is>
          <t>Venue</t>
        </is>
      </c>
      <c r="D399" s="199" t="inlineStr">
        <is>
          <t>Venue HX 2</t>
        </is>
      </c>
      <c r="E399" s="200" t="inlineStr">
        <is>
          <t>Hazel Blue</t>
        </is>
      </c>
    </row>
    <row r="400" ht="15" customHeight="1">
      <c r="A400" s="196" t="n">
        <v>396</v>
      </c>
      <c r="B400" s="197" t="inlineStr">
        <is>
          <t>Hyundai</t>
        </is>
      </c>
      <c r="C400" s="198" t="inlineStr">
        <is>
          <t>Venue</t>
        </is>
      </c>
      <c r="D400" s="199" t="inlineStr">
        <is>
          <t>Venue HX 2</t>
        </is>
      </c>
      <c r="E400" s="200" t="inlineStr">
        <is>
          <t>Mystic Sapphire</t>
        </is>
      </c>
    </row>
    <row r="401" ht="15" customHeight="1">
      <c r="A401" s="196" t="n">
        <v>397</v>
      </c>
      <c r="B401" s="197" t="inlineStr">
        <is>
          <t>Hyundai</t>
        </is>
      </c>
      <c r="C401" s="198" t="inlineStr">
        <is>
          <t>Venue</t>
        </is>
      </c>
      <c r="D401" s="199" t="inlineStr">
        <is>
          <t>Venue HX 2</t>
        </is>
      </c>
      <c r="E401" s="200" t="inlineStr">
        <is>
          <t>Titan Grey</t>
        </is>
      </c>
    </row>
    <row r="402" ht="15" customHeight="1">
      <c r="A402" s="196" t="n">
        <v>398</v>
      </c>
      <c r="B402" s="197" t="inlineStr">
        <is>
          <t>Hyundai</t>
        </is>
      </c>
      <c r="C402" s="198" t="inlineStr">
        <is>
          <t>Venue</t>
        </is>
      </c>
      <c r="D402" s="199" t="inlineStr">
        <is>
          <t>Venue HX 2</t>
        </is>
      </c>
      <c r="E402" s="200" t="inlineStr">
        <is>
          <t>Titanium Black</t>
        </is>
      </c>
    </row>
    <row r="403" ht="15" customHeight="1">
      <c r="A403" s="196" t="n">
        <v>399</v>
      </c>
      <c r="B403" s="197" t="inlineStr">
        <is>
          <t>Hyundai</t>
        </is>
      </c>
      <c r="C403" s="198" t="inlineStr">
        <is>
          <t>Venue</t>
        </is>
      </c>
      <c r="D403" s="199" t="inlineStr">
        <is>
          <t>Venue HX 4</t>
        </is>
      </c>
      <c r="E403" s="200" t="inlineStr">
        <is>
          <t>Atlas White</t>
        </is>
      </c>
    </row>
    <row r="404" ht="15" customHeight="1">
      <c r="A404" s="196" t="n">
        <v>400</v>
      </c>
      <c r="B404" s="197" t="inlineStr">
        <is>
          <t>Hyundai</t>
        </is>
      </c>
      <c r="C404" s="198" t="inlineStr">
        <is>
          <t>Venue</t>
        </is>
      </c>
      <c r="D404" s="199" t="inlineStr">
        <is>
          <t>Venue HX 4</t>
        </is>
      </c>
      <c r="E404" s="200" t="inlineStr">
        <is>
          <t>Dragon Red</t>
        </is>
      </c>
    </row>
    <row r="405" ht="15" customHeight="1">
      <c r="A405" s="196" t="n">
        <v>401</v>
      </c>
      <c r="B405" s="197" t="inlineStr">
        <is>
          <t>Hyundai</t>
        </is>
      </c>
      <c r="C405" s="198" t="inlineStr">
        <is>
          <t>Venue</t>
        </is>
      </c>
      <c r="D405" s="199" t="inlineStr">
        <is>
          <t>Venue HX 4</t>
        </is>
      </c>
      <c r="E405" s="200" t="inlineStr">
        <is>
          <t>Hazel Blue</t>
        </is>
      </c>
    </row>
    <row r="406" ht="15" customHeight="1">
      <c r="A406" s="196" t="n">
        <v>402</v>
      </c>
      <c r="B406" s="197" t="inlineStr">
        <is>
          <t>Hyundai</t>
        </is>
      </c>
      <c r="C406" s="198" t="inlineStr">
        <is>
          <t>Venue</t>
        </is>
      </c>
      <c r="D406" s="199" t="inlineStr">
        <is>
          <t>Venue HX 4</t>
        </is>
      </c>
      <c r="E406" s="200" t="inlineStr">
        <is>
          <t>Mystic Sapphire</t>
        </is>
      </c>
    </row>
    <row r="407" ht="15" customHeight="1">
      <c r="A407" s="196" t="n">
        <v>403</v>
      </c>
      <c r="B407" s="197" t="inlineStr">
        <is>
          <t>Hyundai</t>
        </is>
      </c>
      <c r="C407" s="198" t="inlineStr">
        <is>
          <t>Venue</t>
        </is>
      </c>
      <c r="D407" s="199" t="inlineStr">
        <is>
          <t>Venue HX 4</t>
        </is>
      </c>
      <c r="E407" s="200" t="inlineStr">
        <is>
          <t>Titan Grey</t>
        </is>
      </c>
    </row>
    <row r="408" ht="15" customHeight="1">
      <c r="A408" s="196" t="n">
        <v>404</v>
      </c>
      <c r="B408" s="197" t="inlineStr">
        <is>
          <t>Hyundai</t>
        </is>
      </c>
      <c r="C408" s="198" t="inlineStr">
        <is>
          <t>Venue</t>
        </is>
      </c>
      <c r="D408" s="199" t="inlineStr">
        <is>
          <t>Venue HX 4</t>
        </is>
      </c>
      <c r="E408" s="200" t="inlineStr">
        <is>
          <t>Titanium Black</t>
        </is>
      </c>
    </row>
    <row r="409" ht="15" customHeight="1">
      <c r="A409" s="196" t="n">
        <v>405</v>
      </c>
      <c r="B409" s="197" t="inlineStr">
        <is>
          <t>Hyundai</t>
        </is>
      </c>
      <c r="C409" s="198" t="inlineStr">
        <is>
          <t>Venue</t>
        </is>
      </c>
      <c r="D409" s="199" t="inlineStr">
        <is>
          <t>Venue HX 5</t>
        </is>
      </c>
      <c r="E409" s="200" t="inlineStr">
        <is>
          <t>Atlas White</t>
        </is>
      </c>
    </row>
    <row r="410" ht="15" customHeight="1">
      <c r="A410" s="196" t="n">
        <v>406</v>
      </c>
      <c r="B410" s="197" t="inlineStr">
        <is>
          <t>Hyundai</t>
        </is>
      </c>
      <c r="C410" s="198" t="inlineStr">
        <is>
          <t>Venue</t>
        </is>
      </c>
      <c r="D410" s="199" t="inlineStr">
        <is>
          <t>Venue HX 5</t>
        </is>
      </c>
      <c r="E410" s="200" t="inlineStr">
        <is>
          <t>Dragon Red</t>
        </is>
      </c>
    </row>
    <row r="411" ht="15" customHeight="1">
      <c r="A411" s="196" t="n">
        <v>407</v>
      </c>
      <c r="B411" s="197" t="inlineStr">
        <is>
          <t>Hyundai</t>
        </is>
      </c>
      <c r="C411" s="198" t="inlineStr">
        <is>
          <t>Venue</t>
        </is>
      </c>
      <c r="D411" s="199" t="inlineStr">
        <is>
          <t>Venue HX 5</t>
        </is>
      </c>
      <c r="E411" s="200" t="inlineStr">
        <is>
          <t>Hazel Blue</t>
        </is>
      </c>
    </row>
    <row r="412" ht="15" customHeight="1">
      <c r="A412" s="196" t="n">
        <v>408</v>
      </c>
      <c r="B412" s="197" t="inlineStr">
        <is>
          <t>Hyundai</t>
        </is>
      </c>
      <c r="C412" s="198" t="inlineStr">
        <is>
          <t>Venue</t>
        </is>
      </c>
      <c r="D412" s="199" t="inlineStr">
        <is>
          <t>Venue HX 5</t>
        </is>
      </c>
      <c r="E412" s="200" t="inlineStr">
        <is>
          <t>Mystic Sapphire</t>
        </is>
      </c>
    </row>
    <row r="413" ht="15" customHeight="1">
      <c r="A413" s="196" t="n">
        <v>409</v>
      </c>
      <c r="B413" s="197" t="inlineStr">
        <is>
          <t>Hyundai</t>
        </is>
      </c>
      <c r="C413" s="198" t="inlineStr">
        <is>
          <t>Venue</t>
        </is>
      </c>
      <c r="D413" s="199" t="inlineStr">
        <is>
          <t>Venue HX 5</t>
        </is>
      </c>
      <c r="E413" s="200" t="inlineStr">
        <is>
          <t>Titan Grey</t>
        </is>
      </c>
    </row>
    <row r="414" ht="15" customHeight="1">
      <c r="A414" s="196" t="n">
        <v>410</v>
      </c>
      <c r="B414" s="197" t="inlineStr">
        <is>
          <t>Hyundai</t>
        </is>
      </c>
      <c r="C414" s="198" t="inlineStr">
        <is>
          <t>Venue</t>
        </is>
      </c>
      <c r="D414" s="199" t="inlineStr">
        <is>
          <t>Venue HX 5</t>
        </is>
      </c>
      <c r="E414" s="200" t="inlineStr">
        <is>
          <t>Titanium Black</t>
        </is>
      </c>
    </row>
    <row r="415" ht="15" customHeight="1">
      <c r="A415" s="196" t="n">
        <v>411</v>
      </c>
      <c r="B415" s="197" t="inlineStr">
        <is>
          <t>Hyundai</t>
        </is>
      </c>
      <c r="C415" s="198" t="inlineStr">
        <is>
          <t>Venue</t>
        </is>
      </c>
      <c r="D415" s="199" t="inlineStr">
        <is>
          <t>Venue HX 5 Plus</t>
        </is>
      </c>
      <c r="E415" s="200" t="inlineStr">
        <is>
          <t>Atlas White</t>
        </is>
      </c>
    </row>
    <row r="416" ht="15" customHeight="1">
      <c r="A416" s="196" t="n">
        <v>412</v>
      </c>
      <c r="B416" s="197" t="inlineStr">
        <is>
          <t>Hyundai</t>
        </is>
      </c>
      <c r="C416" s="198" t="inlineStr">
        <is>
          <t>Venue</t>
        </is>
      </c>
      <c r="D416" s="199" t="inlineStr">
        <is>
          <t>Venue HX 5 Plus</t>
        </is>
      </c>
      <c r="E416" s="200" t="inlineStr">
        <is>
          <t>Dragon Red</t>
        </is>
      </c>
    </row>
    <row r="417" ht="15" customHeight="1">
      <c r="A417" s="196" t="n">
        <v>413</v>
      </c>
      <c r="B417" s="197" t="inlineStr">
        <is>
          <t>Hyundai</t>
        </is>
      </c>
      <c r="C417" s="198" t="inlineStr">
        <is>
          <t>Venue</t>
        </is>
      </c>
      <c r="D417" s="199" t="inlineStr">
        <is>
          <t>Venue HX 5 Plus</t>
        </is>
      </c>
      <c r="E417" s="200" t="inlineStr">
        <is>
          <t>Hazel Blue</t>
        </is>
      </c>
    </row>
    <row r="418" ht="15" customHeight="1">
      <c r="A418" s="196" t="n">
        <v>414</v>
      </c>
      <c r="B418" s="197" t="inlineStr">
        <is>
          <t>Hyundai</t>
        </is>
      </c>
      <c r="C418" s="198" t="inlineStr">
        <is>
          <t>Venue</t>
        </is>
      </c>
      <c r="D418" s="199" t="inlineStr">
        <is>
          <t>Venue HX 5 Plus</t>
        </is>
      </c>
      <c r="E418" s="200" t="inlineStr">
        <is>
          <t>Mystic Sapphire</t>
        </is>
      </c>
    </row>
    <row r="419" ht="15" customHeight="1">
      <c r="A419" s="196" t="n">
        <v>415</v>
      </c>
      <c r="B419" s="197" t="inlineStr">
        <is>
          <t>Hyundai</t>
        </is>
      </c>
      <c r="C419" s="198" t="inlineStr">
        <is>
          <t>Venue</t>
        </is>
      </c>
      <c r="D419" s="199" t="inlineStr">
        <is>
          <t>Venue HX 5 Plus</t>
        </is>
      </c>
      <c r="E419" s="200" t="inlineStr">
        <is>
          <t>Titan Grey</t>
        </is>
      </c>
    </row>
    <row r="420" ht="15" customHeight="1">
      <c r="A420" s="196" t="n">
        <v>416</v>
      </c>
      <c r="B420" s="197" t="inlineStr">
        <is>
          <t>Hyundai</t>
        </is>
      </c>
      <c r="C420" s="198" t="inlineStr">
        <is>
          <t>Venue</t>
        </is>
      </c>
      <c r="D420" s="199" t="inlineStr">
        <is>
          <t>Venue HX 5 Plus</t>
        </is>
      </c>
      <c r="E420" s="200" t="inlineStr">
        <is>
          <t>Titanium Black</t>
        </is>
      </c>
    </row>
    <row r="421" ht="15" customHeight="1">
      <c r="A421" s="196" t="n">
        <v>417</v>
      </c>
      <c r="B421" s="197" t="inlineStr">
        <is>
          <t>Hyundai</t>
        </is>
      </c>
      <c r="C421" s="198" t="inlineStr">
        <is>
          <t>Venue</t>
        </is>
      </c>
      <c r="D421" s="199" t="inlineStr">
        <is>
          <t>Venue HX 6</t>
        </is>
      </c>
      <c r="E421" s="200" t="inlineStr">
        <is>
          <t>Atlas White</t>
        </is>
      </c>
    </row>
    <row r="422" ht="15" customHeight="1">
      <c r="A422" s="196" t="n">
        <v>418</v>
      </c>
      <c r="B422" s="197" t="inlineStr">
        <is>
          <t>Hyundai</t>
        </is>
      </c>
      <c r="C422" s="198" t="inlineStr">
        <is>
          <t>Venue</t>
        </is>
      </c>
      <c r="D422" s="199" t="inlineStr">
        <is>
          <t>Venue HX 6</t>
        </is>
      </c>
      <c r="E422" s="200" t="inlineStr">
        <is>
          <t>Dragon Red</t>
        </is>
      </c>
    </row>
    <row r="423" ht="15" customHeight="1">
      <c r="A423" s="196" t="n">
        <v>419</v>
      </c>
      <c r="B423" s="197" t="inlineStr">
        <is>
          <t>Hyundai</t>
        </is>
      </c>
      <c r="C423" s="198" t="inlineStr">
        <is>
          <t>Venue</t>
        </is>
      </c>
      <c r="D423" s="199" t="inlineStr">
        <is>
          <t>Venue HX 6</t>
        </is>
      </c>
      <c r="E423" s="200" t="inlineStr">
        <is>
          <t>Hazel Blue</t>
        </is>
      </c>
    </row>
    <row r="424" ht="15" customHeight="1">
      <c r="A424" s="196" t="n">
        <v>420</v>
      </c>
      <c r="B424" s="197" t="inlineStr">
        <is>
          <t>Hyundai</t>
        </is>
      </c>
      <c r="C424" s="198" t="inlineStr">
        <is>
          <t>Venue</t>
        </is>
      </c>
      <c r="D424" s="199" t="inlineStr">
        <is>
          <t>Venue HX 6</t>
        </is>
      </c>
      <c r="E424" s="200" t="inlineStr">
        <is>
          <t>Mystic Sapphire</t>
        </is>
      </c>
    </row>
    <row r="425" ht="15" customHeight="1">
      <c r="A425" s="196" t="n">
        <v>421</v>
      </c>
      <c r="B425" s="197" t="inlineStr">
        <is>
          <t>Hyundai</t>
        </is>
      </c>
      <c r="C425" s="198" t="inlineStr">
        <is>
          <t>Venue</t>
        </is>
      </c>
      <c r="D425" s="199" t="inlineStr">
        <is>
          <t>Venue HX 6</t>
        </is>
      </c>
      <c r="E425" s="200" t="inlineStr">
        <is>
          <t>Titan Grey</t>
        </is>
      </c>
    </row>
    <row r="426" ht="15" customHeight="1">
      <c r="A426" s="196" t="n">
        <v>422</v>
      </c>
      <c r="B426" s="197" t="inlineStr">
        <is>
          <t>Hyundai</t>
        </is>
      </c>
      <c r="C426" s="198" t="inlineStr">
        <is>
          <t>Venue</t>
        </is>
      </c>
      <c r="D426" s="199" t="inlineStr">
        <is>
          <t>Venue HX 6</t>
        </is>
      </c>
      <c r="E426" s="200" t="inlineStr">
        <is>
          <t>Titanium Black</t>
        </is>
      </c>
    </row>
    <row r="427" ht="15" customHeight="1">
      <c r="A427" s="196" t="n">
        <v>423</v>
      </c>
      <c r="B427" s="197" t="inlineStr">
        <is>
          <t>Hyundai</t>
        </is>
      </c>
      <c r="C427" s="198" t="inlineStr">
        <is>
          <t>Venue</t>
        </is>
      </c>
      <c r="D427" s="199" t="inlineStr">
        <is>
          <t>Venue HX 6T</t>
        </is>
      </c>
      <c r="E427" s="200" t="inlineStr">
        <is>
          <t>Atlas White</t>
        </is>
      </c>
    </row>
    <row r="428" ht="15" customHeight="1">
      <c r="A428" s="196" t="n">
        <v>424</v>
      </c>
      <c r="B428" s="197" t="inlineStr">
        <is>
          <t>Hyundai</t>
        </is>
      </c>
      <c r="C428" s="198" t="inlineStr">
        <is>
          <t>Venue</t>
        </is>
      </c>
      <c r="D428" s="199" t="inlineStr">
        <is>
          <t>Venue HX 6T</t>
        </is>
      </c>
      <c r="E428" s="200" t="inlineStr">
        <is>
          <t>Dragon Red</t>
        </is>
      </c>
    </row>
    <row r="429" ht="15" customHeight="1">
      <c r="A429" s="196" t="n">
        <v>425</v>
      </c>
      <c r="B429" s="197" t="inlineStr">
        <is>
          <t>Hyundai</t>
        </is>
      </c>
      <c r="C429" s="198" t="inlineStr">
        <is>
          <t>Venue</t>
        </is>
      </c>
      <c r="D429" s="199" t="inlineStr">
        <is>
          <t>Venue HX 6T</t>
        </is>
      </c>
      <c r="E429" s="200" t="inlineStr">
        <is>
          <t>Hazel Blue</t>
        </is>
      </c>
    </row>
    <row r="430" ht="15" customHeight="1">
      <c r="A430" s="196" t="n">
        <v>426</v>
      </c>
      <c r="B430" s="197" t="inlineStr">
        <is>
          <t>Hyundai</t>
        </is>
      </c>
      <c r="C430" s="198" t="inlineStr">
        <is>
          <t>Venue</t>
        </is>
      </c>
      <c r="D430" s="199" t="inlineStr">
        <is>
          <t>Venue HX 6T</t>
        </is>
      </c>
      <c r="E430" s="200" t="inlineStr">
        <is>
          <t>Hazel Blue Matte</t>
        </is>
      </c>
    </row>
    <row r="431" ht="15" customHeight="1">
      <c r="A431" s="196" t="n">
        <v>427</v>
      </c>
      <c r="B431" s="197" t="inlineStr">
        <is>
          <t>Hyundai</t>
        </is>
      </c>
      <c r="C431" s="198" t="inlineStr">
        <is>
          <t>Venue</t>
        </is>
      </c>
      <c r="D431" s="199" t="inlineStr">
        <is>
          <t>Venue HX 6T</t>
        </is>
      </c>
      <c r="E431" s="200" t="inlineStr">
        <is>
          <t>Mystic Sapphire</t>
        </is>
      </c>
    </row>
    <row r="432" ht="15" customHeight="1">
      <c r="A432" s="196" t="n">
        <v>428</v>
      </c>
      <c r="B432" s="197" t="inlineStr">
        <is>
          <t>Hyundai</t>
        </is>
      </c>
      <c r="C432" s="198" t="inlineStr">
        <is>
          <t>Venue</t>
        </is>
      </c>
      <c r="D432" s="199" t="inlineStr">
        <is>
          <t>Venue HX 6T</t>
        </is>
      </c>
      <c r="E432" s="200" t="inlineStr">
        <is>
          <t>Mystic Sapphire Matte</t>
        </is>
      </c>
    </row>
    <row r="433" ht="15" customHeight="1">
      <c r="A433" s="196" t="n">
        <v>429</v>
      </c>
      <c r="B433" s="197" t="inlineStr">
        <is>
          <t>Hyundai</t>
        </is>
      </c>
      <c r="C433" s="198" t="inlineStr">
        <is>
          <t>Venue</t>
        </is>
      </c>
      <c r="D433" s="199" t="inlineStr">
        <is>
          <t>Venue HX 6T</t>
        </is>
      </c>
      <c r="E433" s="200" t="inlineStr">
        <is>
          <t>Titan Grey</t>
        </is>
      </c>
    </row>
    <row r="434" ht="15" customHeight="1">
      <c r="A434" s="196" t="n">
        <v>430</v>
      </c>
      <c r="B434" s="197" t="inlineStr">
        <is>
          <t>Hyundai</t>
        </is>
      </c>
      <c r="C434" s="198" t="inlineStr">
        <is>
          <t>Venue</t>
        </is>
      </c>
      <c r="D434" s="199" t="inlineStr">
        <is>
          <t>Venue HX 6T</t>
        </is>
      </c>
      <c r="E434" s="200" t="inlineStr">
        <is>
          <t>Titanium Black</t>
        </is>
      </c>
    </row>
    <row r="435" ht="15" customHeight="1">
      <c r="A435" s="196" t="n">
        <v>431</v>
      </c>
      <c r="B435" s="197" t="inlineStr">
        <is>
          <t>Hyundai</t>
        </is>
      </c>
      <c r="C435" s="198" t="inlineStr">
        <is>
          <t>Venue</t>
        </is>
      </c>
      <c r="D435" s="199" t="inlineStr">
        <is>
          <t>Venue HX 7</t>
        </is>
      </c>
      <c r="E435" s="200" t="inlineStr">
        <is>
          <t>Atlas White</t>
        </is>
      </c>
    </row>
    <row r="436" ht="15" customHeight="1">
      <c r="A436" s="196" t="n">
        <v>432</v>
      </c>
      <c r="B436" s="197" t="inlineStr">
        <is>
          <t>Hyundai</t>
        </is>
      </c>
      <c r="C436" s="198" t="inlineStr">
        <is>
          <t>Venue</t>
        </is>
      </c>
      <c r="D436" s="199" t="inlineStr">
        <is>
          <t>Venue HX 7</t>
        </is>
      </c>
      <c r="E436" s="200" t="inlineStr">
        <is>
          <t>Dragon Red</t>
        </is>
      </c>
    </row>
    <row r="437" ht="15" customHeight="1">
      <c r="A437" s="196" t="n">
        <v>433</v>
      </c>
      <c r="B437" s="197" t="inlineStr">
        <is>
          <t>Hyundai</t>
        </is>
      </c>
      <c r="C437" s="198" t="inlineStr">
        <is>
          <t>Venue</t>
        </is>
      </c>
      <c r="D437" s="199" t="inlineStr">
        <is>
          <t>Venue HX 7</t>
        </is>
      </c>
      <c r="E437" s="200" t="inlineStr">
        <is>
          <t>Hazel Blue</t>
        </is>
      </c>
    </row>
    <row r="438" ht="15" customHeight="1">
      <c r="A438" s="196" t="n">
        <v>434</v>
      </c>
      <c r="B438" s="197" t="inlineStr">
        <is>
          <t>Hyundai</t>
        </is>
      </c>
      <c r="C438" s="198" t="inlineStr">
        <is>
          <t>Venue</t>
        </is>
      </c>
      <c r="D438" s="199" t="inlineStr">
        <is>
          <t>Venue HX 7</t>
        </is>
      </c>
      <c r="E438" s="200" t="inlineStr">
        <is>
          <t>Hazel Blue Matte</t>
        </is>
      </c>
    </row>
    <row r="439" ht="15" customHeight="1">
      <c r="A439" s="196" t="n">
        <v>435</v>
      </c>
      <c r="B439" s="197" t="inlineStr">
        <is>
          <t>Hyundai</t>
        </is>
      </c>
      <c r="C439" s="198" t="inlineStr">
        <is>
          <t>Venue</t>
        </is>
      </c>
      <c r="D439" s="199" t="inlineStr">
        <is>
          <t>Venue HX 7</t>
        </is>
      </c>
      <c r="E439" s="200" t="inlineStr">
        <is>
          <t>Mystic Sapphire</t>
        </is>
      </c>
    </row>
    <row r="440" ht="15" customHeight="1">
      <c r="A440" s="196" t="n">
        <v>436</v>
      </c>
      <c r="B440" s="197" t="inlineStr">
        <is>
          <t>Hyundai</t>
        </is>
      </c>
      <c r="C440" s="198" t="inlineStr">
        <is>
          <t>Venue</t>
        </is>
      </c>
      <c r="D440" s="199" t="inlineStr">
        <is>
          <t>Venue HX 7</t>
        </is>
      </c>
      <c r="E440" s="200" t="inlineStr">
        <is>
          <t>Mystic Sapphire Matte</t>
        </is>
      </c>
    </row>
    <row r="441" ht="15" customHeight="1">
      <c r="A441" s="196" t="n">
        <v>437</v>
      </c>
      <c r="B441" s="197" t="inlineStr">
        <is>
          <t>Hyundai</t>
        </is>
      </c>
      <c r="C441" s="198" t="inlineStr">
        <is>
          <t>Venue</t>
        </is>
      </c>
      <c r="D441" s="199" t="inlineStr">
        <is>
          <t>Venue HX 7</t>
        </is>
      </c>
      <c r="E441" s="200" t="inlineStr">
        <is>
          <t>Titan Grey</t>
        </is>
      </c>
    </row>
    <row r="442" ht="15" customHeight="1">
      <c r="A442" s="196" t="n">
        <v>438</v>
      </c>
      <c r="B442" s="197" t="inlineStr">
        <is>
          <t>Hyundai</t>
        </is>
      </c>
      <c r="C442" s="198" t="inlineStr">
        <is>
          <t>Venue</t>
        </is>
      </c>
      <c r="D442" s="199" t="inlineStr">
        <is>
          <t>Venue HX 7</t>
        </is>
      </c>
      <c r="E442" s="200" t="inlineStr">
        <is>
          <t>Titanium Black</t>
        </is>
      </c>
    </row>
    <row r="443" ht="15" customHeight="1">
      <c r="A443" s="196" t="n">
        <v>439</v>
      </c>
      <c r="B443" s="197" t="inlineStr">
        <is>
          <t>Hyundai</t>
        </is>
      </c>
      <c r="C443" s="198" t="inlineStr">
        <is>
          <t>Venue</t>
        </is>
      </c>
      <c r="D443" s="199" t="inlineStr">
        <is>
          <t>Venue HX 8</t>
        </is>
      </c>
      <c r="E443" s="200" t="inlineStr">
        <is>
          <t>Atlas White</t>
        </is>
      </c>
    </row>
    <row r="444" ht="15" customHeight="1">
      <c r="A444" s="196" t="n">
        <v>440</v>
      </c>
      <c r="B444" s="197" t="inlineStr">
        <is>
          <t>Hyundai</t>
        </is>
      </c>
      <c r="C444" s="198" t="inlineStr">
        <is>
          <t>Venue</t>
        </is>
      </c>
      <c r="D444" s="199" t="inlineStr">
        <is>
          <t>Venue HX 8</t>
        </is>
      </c>
      <c r="E444" s="200" t="inlineStr">
        <is>
          <t>Dragon Red</t>
        </is>
      </c>
    </row>
    <row r="445" ht="15" customHeight="1">
      <c r="A445" s="196" t="n">
        <v>441</v>
      </c>
      <c r="B445" s="197" t="inlineStr">
        <is>
          <t>Hyundai</t>
        </is>
      </c>
      <c r="C445" s="198" t="inlineStr">
        <is>
          <t>Venue</t>
        </is>
      </c>
      <c r="D445" s="199" t="inlineStr">
        <is>
          <t>Venue HX 8</t>
        </is>
      </c>
      <c r="E445" s="200" t="inlineStr">
        <is>
          <t>Hazel Blue</t>
        </is>
      </c>
    </row>
    <row r="446" ht="15" customHeight="1">
      <c r="A446" s="196" t="n">
        <v>442</v>
      </c>
      <c r="B446" s="197" t="inlineStr">
        <is>
          <t>Hyundai</t>
        </is>
      </c>
      <c r="C446" s="198" t="inlineStr">
        <is>
          <t>Venue</t>
        </is>
      </c>
      <c r="D446" s="199" t="inlineStr">
        <is>
          <t>Venue HX 8</t>
        </is>
      </c>
      <c r="E446" s="200" t="inlineStr">
        <is>
          <t>Mystic Sapphire</t>
        </is>
      </c>
    </row>
    <row r="447" ht="15" customHeight="1">
      <c r="A447" s="196" t="n">
        <v>443</v>
      </c>
      <c r="B447" s="197" t="inlineStr">
        <is>
          <t>Hyundai</t>
        </is>
      </c>
      <c r="C447" s="198" t="inlineStr">
        <is>
          <t>Venue</t>
        </is>
      </c>
      <c r="D447" s="199" t="inlineStr">
        <is>
          <t>Venue HX 8</t>
        </is>
      </c>
      <c r="E447" s="200" t="inlineStr">
        <is>
          <t>Titan Grey</t>
        </is>
      </c>
    </row>
    <row r="448" ht="15" customHeight="1">
      <c r="A448" s="196" t="n">
        <v>444</v>
      </c>
      <c r="B448" s="197" t="inlineStr">
        <is>
          <t>Hyundai</t>
        </is>
      </c>
      <c r="C448" s="198" t="inlineStr">
        <is>
          <t>Venue</t>
        </is>
      </c>
      <c r="D448" s="199" t="inlineStr">
        <is>
          <t>Venue HX 8</t>
        </is>
      </c>
      <c r="E448" s="200" t="inlineStr">
        <is>
          <t>Titanium Black</t>
        </is>
      </c>
    </row>
    <row r="449" ht="15" customHeight="1">
      <c r="A449" s="196" t="n">
        <v>445</v>
      </c>
      <c r="B449" s="197" t="inlineStr">
        <is>
          <t>Hyundai</t>
        </is>
      </c>
      <c r="C449" s="198" t="inlineStr">
        <is>
          <t>Verna</t>
        </is>
      </c>
      <c r="D449" s="199" t="inlineStr">
        <is>
          <t>Verna HX 10</t>
        </is>
      </c>
      <c r="E449" s="200" t="inlineStr">
        <is>
          <t>Titan Grey Matte</t>
        </is>
      </c>
    </row>
    <row r="450" ht="15" customHeight="1">
      <c r="A450" s="196" t="n">
        <v>446</v>
      </c>
      <c r="B450" s="197" t="inlineStr">
        <is>
          <t>Hyundai</t>
        </is>
      </c>
      <c r="C450" s="198" t="inlineStr">
        <is>
          <t>Verna</t>
        </is>
      </c>
      <c r="D450" s="199" t="inlineStr">
        <is>
          <t>Verna HX 2</t>
        </is>
      </c>
      <c r="E450" s="200" t="inlineStr">
        <is>
          <t>Atlas White</t>
        </is>
      </c>
    </row>
    <row r="451" ht="15" customHeight="1">
      <c r="A451" s="196" t="n">
        <v>447</v>
      </c>
      <c r="B451" s="197" t="inlineStr">
        <is>
          <t>Hyundai</t>
        </is>
      </c>
      <c r="C451" s="198" t="inlineStr">
        <is>
          <t>Verna</t>
        </is>
      </c>
      <c r="D451" s="199" t="inlineStr">
        <is>
          <t>Verna HX 2</t>
        </is>
      </c>
      <c r="E451" s="200" t="inlineStr">
        <is>
          <t>Classy Blue</t>
        </is>
      </c>
    </row>
    <row r="452" ht="15" customHeight="1">
      <c r="A452" s="196" t="n">
        <v>448</v>
      </c>
      <c r="B452" s="197" t="inlineStr">
        <is>
          <t>Hyundai</t>
        </is>
      </c>
      <c r="C452" s="198" t="inlineStr">
        <is>
          <t>Verna</t>
        </is>
      </c>
      <c r="D452" s="199" t="inlineStr">
        <is>
          <t>Verna HX 2</t>
        </is>
      </c>
      <c r="E452" s="200" t="inlineStr">
        <is>
          <t>Starry Night</t>
        </is>
      </c>
    </row>
    <row r="453" ht="15" customHeight="1">
      <c r="A453" s="196" t="n">
        <v>449</v>
      </c>
      <c r="B453" s="197" t="inlineStr">
        <is>
          <t>Hyundai</t>
        </is>
      </c>
      <c r="C453" s="198" t="inlineStr">
        <is>
          <t>Verna</t>
        </is>
      </c>
      <c r="D453" s="199" t="inlineStr">
        <is>
          <t>Verna HX 2</t>
        </is>
      </c>
      <c r="E453" s="200" t="inlineStr">
        <is>
          <t>Titan Grey</t>
        </is>
      </c>
    </row>
    <row r="454" ht="15" customHeight="1">
      <c r="A454" s="196" t="n">
        <v>450</v>
      </c>
      <c r="B454" s="197" t="inlineStr">
        <is>
          <t>Hyundai</t>
        </is>
      </c>
      <c r="C454" s="198" t="inlineStr">
        <is>
          <t>Verna</t>
        </is>
      </c>
      <c r="D454" s="199" t="inlineStr">
        <is>
          <t>Verna HX 2</t>
        </is>
      </c>
      <c r="E454" s="200" t="inlineStr">
        <is>
          <t>Titan Grey Matte</t>
        </is>
      </c>
    </row>
    <row r="455" ht="15" customHeight="1">
      <c r="A455" s="196" t="n">
        <v>451</v>
      </c>
      <c r="B455" s="197" t="inlineStr">
        <is>
          <t>Hyundai</t>
        </is>
      </c>
      <c r="C455" s="198" t="inlineStr">
        <is>
          <t>Verna</t>
        </is>
      </c>
      <c r="D455" s="199" t="inlineStr">
        <is>
          <t>Verna HX 2</t>
        </is>
      </c>
      <c r="E455" s="200" t="inlineStr">
        <is>
          <t>Titanium Black</t>
        </is>
      </c>
    </row>
    <row r="456" ht="15" customHeight="1">
      <c r="A456" s="196" t="n">
        <v>452</v>
      </c>
      <c r="B456" s="197" t="inlineStr">
        <is>
          <t>Hyundai</t>
        </is>
      </c>
      <c r="C456" s="198" t="inlineStr">
        <is>
          <t>Verna</t>
        </is>
      </c>
      <c r="D456" s="199" t="inlineStr">
        <is>
          <t>Verna HX 4</t>
        </is>
      </c>
      <c r="E456" s="200" t="inlineStr">
        <is>
          <t>Titan Grey Matte</t>
        </is>
      </c>
    </row>
    <row r="457" ht="15" customHeight="1">
      <c r="A457" s="196" t="n">
        <v>453</v>
      </c>
      <c r="B457" s="197" t="inlineStr">
        <is>
          <t>Hyundai</t>
        </is>
      </c>
      <c r="C457" s="198" t="inlineStr">
        <is>
          <t>Verna</t>
        </is>
      </c>
      <c r="D457" s="199" t="inlineStr">
        <is>
          <t>Verna HX 6</t>
        </is>
      </c>
      <c r="E457" s="200" t="inlineStr">
        <is>
          <t>Titan Grey Matte</t>
        </is>
      </c>
    </row>
    <row r="458" ht="15" customHeight="1">
      <c r="A458" s="196" t="n">
        <v>454</v>
      </c>
      <c r="B458" s="197" t="inlineStr">
        <is>
          <t>Hyundai</t>
        </is>
      </c>
      <c r="C458" s="198" t="inlineStr">
        <is>
          <t>Verna</t>
        </is>
      </c>
      <c r="D458" s="199" t="inlineStr">
        <is>
          <t>Verna HX 6 Plus</t>
        </is>
      </c>
      <c r="E458" s="200" t="inlineStr">
        <is>
          <t>Titan Grey Matte</t>
        </is>
      </c>
    </row>
    <row r="459" ht="15" customHeight="1">
      <c r="A459" s="196" t="n">
        <v>455</v>
      </c>
      <c r="B459" s="197" t="inlineStr">
        <is>
          <t>Hyundai</t>
        </is>
      </c>
      <c r="C459" s="198" t="inlineStr">
        <is>
          <t>Verna</t>
        </is>
      </c>
      <c r="D459" s="199" t="inlineStr">
        <is>
          <t>Verna HX 8</t>
        </is>
      </c>
      <c r="E459" s="200" t="inlineStr">
        <is>
          <t>Titan Grey Matte</t>
        </is>
      </c>
    </row>
    <row r="460" ht="15" customHeight="1">
      <c r="A460" s="196" t="n">
        <v>456</v>
      </c>
      <c r="B460" s="197" t="inlineStr">
        <is>
          <t>Hyundai</t>
        </is>
      </c>
      <c r="C460" s="198" t="inlineStr">
        <is>
          <t>i20</t>
        </is>
      </c>
      <c r="D460" s="199" t="inlineStr">
        <is>
          <t>i20 Asta</t>
        </is>
      </c>
      <c r="E460" s="200" t="inlineStr">
        <is>
          <t>Amazon Grey</t>
        </is>
      </c>
    </row>
    <row r="461" ht="15" customHeight="1">
      <c r="A461" s="196" t="n">
        <v>457</v>
      </c>
      <c r="B461" s="197" t="inlineStr">
        <is>
          <t>Hyundai</t>
        </is>
      </c>
      <c r="C461" s="198" t="inlineStr">
        <is>
          <t>i20</t>
        </is>
      </c>
      <c r="D461" s="199" t="inlineStr">
        <is>
          <t>i20 Asta</t>
        </is>
      </c>
      <c r="E461" s="200" t="inlineStr">
        <is>
          <t>Atlas White</t>
        </is>
      </c>
    </row>
    <row r="462" ht="15" customHeight="1">
      <c r="A462" s="196" t="n">
        <v>458</v>
      </c>
      <c r="B462" s="197" t="inlineStr">
        <is>
          <t>Hyundai</t>
        </is>
      </c>
      <c r="C462" s="198" t="inlineStr">
        <is>
          <t>i20</t>
        </is>
      </c>
      <c r="D462" s="199" t="inlineStr">
        <is>
          <t>i20 Asta</t>
        </is>
      </c>
      <c r="E462" s="200" t="inlineStr">
        <is>
          <t>Fiery Red</t>
        </is>
      </c>
    </row>
    <row r="463" ht="15" customHeight="1">
      <c r="A463" s="196" t="n">
        <v>459</v>
      </c>
      <c r="B463" s="197" t="inlineStr">
        <is>
          <t>Hyundai</t>
        </is>
      </c>
      <c r="C463" s="198" t="inlineStr">
        <is>
          <t>i20</t>
        </is>
      </c>
      <c r="D463" s="199" t="inlineStr">
        <is>
          <t>i20 Asta</t>
        </is>
      </c>
      <c r="E463" s="200" t="inlineStr">
        <is>
          <t>Starry Night</t>
        </is>
      </c>
    </row>
    <row r="464" ht="15" customHeight="1">
      <c r="A464" s="196" t="n">
        <v>460</v>
      </c>
      <c r="B464" s="197" t="inlineStr">
        <is>
          <t>Hyundai</t>
        </is>
      </c>
      <c r="C464" s="198" t="inlineStr">
        <is>
          <t>i20</t>
        </is>
      </c>
      <c r="D464" s="199" t="inlineStr">
        <is>
          <t>i20 Asta</t>
        </is>
      </c>
      <c r="E464" s="200" t="inlineStr">
        <is>
          <t>Titan Grey</t>
        </is>
      </c>
    </row>
    <row r="465" ht="15" customHeight="1">
      <c r="A465" s="196" t="n">
        <v>461</v>
      </c>
      <c r="B465" s="197" t="inlineStr">
        <is>
          <t>Hyundai</t>
        </is>
      </c>
      <c r="C465" s="198" t="inlineStr">
        <is>
          <t>i20</t>
        </is>
      </c>
      <c r="D465" s="199" t="inlineStr">
        <is>
          <t>i20 Asta</t>
        </is>
      </c>
      <c r="E465" s="200" t="inlineStr">
        <is>
          <t>Typhoon Silver</t>
        </is>
      </c>
    </row>
    <row r="466" ht="15" customHeight="1">
      <c r="A466" s="196" t="n">
        <v>462</v>
      </c>
      <c r="B466" s="197" t="inlineStr">
        <is>
          <t>Hyundai</t>
        </is>
      </c>
      <c r="C466" s="198" t="inlineStr">
        <is>
          <t>i20</t>
        </is>
      </c>
      <c r="D466" s="199" t="inlineStr">
        <is>
          <t>i20 Asta (O)</t>
        </is>
      </c>
      <c r="E466" s="200" t="inlineStr">
        <is>
          <t>Amazon Grey</t>
        </is>
      </c>
    </row>
    <row r="467" ht="15" customHeight="1">
      <c r="A467" s="196" t="n">
        <v>463</v>
      </c>
      <c r="B467" s="197" t="inlineStr">
        <is>
          <t>Hyundai</t>
        </is>
      </c>
      <c r="C467" s="198" t="inlineStr">
        <is>
          <t>i20</t>
        </is>
      </c>
      <c r="D467" s="199" t="inlineStr">
        <is>
          <t>i20 Asta (O)</t>
        </is>
      </c>
      <c r="E467" s="200" t="inlineStr">
        <is>
          <t>Atlas White</t>
        </is>
      </c>
    </row>
    <row r="468" ht="15" customHeight="1">
      <c r="A468" s="196" t="n">
        <v>464</v>
      </c>
      <c r="B468" s="197" t="inlineStr">
        <is>
          <t>Hyundai</t>
        </is>
      </c>
      <c r="C468" s="198" t="inlineStr">
        <is>
          <t>i20</t>
        </is>
      </c>
      <c r="D468" s="199" t="inlineStr">
        <is>
          <t>i20 Asta (O)</t>
        </is>
      </c>
      <c r="E468" s="200" t="inlineStr">
        <is>
          <t>Fiery Red</t>
        </is>
      </c>
    </row>
    <row r="469" ht="15" customHeight="1">
      <c r="A469" s="196" t="n">
        <v>465</v>
      </c>
      <c r="B469" s="197" t="inlineStr">
        <is>
          <t>Hyundai</t>
        </is>
      </c>
      <c r="C469" s="198" t="inlineStr">
        <is>
          <t>i20</t>
        </is>
      </c>
      <c r="D469" s="199" t="inlineStr">
        <is>
          <t>i20 Asta (O)</t>
        </is>
      </c>
      <c r="E469" s="200" t="inlineStr">
        <is>
          <t>Starry Night</t>
        </is>
      </c>
    </row>
    <row r="470" ht="15" customHeight="1">
      <c r="A470" s="196" t="n">
        <v>466</v>
      </c>
      <c r="B470" s="197" t="inlineStr">
        <is>
          <t>Hyundai</t>
        </is>
      </c>
      <c r="C470" s="198" t="inlineStr">
        <is>
          <t>i20</t>
        </is>
      </c>
      <c r="D470" s="199" t="inlineStr">
        <is>
          <t>i20 Asta (O)</t>
        </is>
      </c>
      <c r="E470" s="200" t="inlineStr">
        <is>
          <t>Titan Grey</t>
        </is>
      </c>
    </row>
    <row r="471" ht="15" customHeight="1">
      <c r="A471" s="196" t="n">
        <v>467</v>
      </c>
      <c r="B471" s="197" t="inlineStr">
        <is>
          <t>Hyundai</t>
        </is>
      </c>
      <c r="C471" s="198" t="inlineStr">
        <is>
          <t>i20</t>
        </is>
      </c>
      <c r="D471" s="199" t="inlineStr">
        <is>
          <t>i20 Asta (O)</t>
        </is>
      </c>
      <c r="E471" s="200" t="inlineStr">
        <is>
          <t>Typhoon Silver</t>
        </is>
      </c>
    </row>
    <row r="472" ht="15" customHeight="1">
      <c r="A472" s="196" t="n">
        <v>468</v>
      </c>
      <c r="B472" s="197" t="inlineStr">
        <is>
          <t>Hyundai</t>
        </is>
      </c>
      <c r="C472" s="198" t="inlineStr">
        <is>
          <t>i20</t>
        </is>
      </c>
      <c r="D472" s="199" t="inlineStr">
        <is>
          <t>i20 Asta (O) Knight Edition</t>
        </is>
      </c>
      <c r="E472" s="200" t="inlineStr">
        <is>
          <t>Abyss Black</t>
        </is>
      </c>
    </row>
    <row r="473" ht="15" customHeight="1">
      <c r="A473" s="196" t="n">
        <v>469</v>
      </c>
      <c r="B473" s="197" t="inlineStr">
        <is>
          <t>Hyundai</t>
        </is>
      </c>
      <c r="C473" s="198" t="inlineStr">
        <is>
          <t>i20</t>
        </is>
      </c>
      <c r="D473" s="199" t="inlineStr">
        <is>
          <t>i20 Era</t>
        </is>
      </c>
      <c r="E473" s="200" t="inlineStr">
        <is>
          <t>Amazon Grey</t>
        </is>
      </c>
    </row>
    <row r="474" ht="15" customHeight="1">
      <c r="A474" s="196" t="n">
        <v>470</v>
      </c>
      <c r="B474" s="197" t="inlineStr">
        <is>
          <t>Hyundai</t>
        </is>
      </c>
      <c r="C474" s="198" t="inlineStr">
        <is>
          <t>i20</t>
        </is>
      </c>
      <c r="D474" s="199" t="inlineStr">
        <is>
          <t>i20 Era</t>
        </is>
      </c>
      <c r="E474" s="200" t="inlineStr">
        <is>
          <t>Atlas White</t>
        </is>
      </c>
    </row>
    <row r="475" ht="15" customHeight="1">
      <c r="A475" s="196" t="n">
        <v>471</v>
      </c>
      <c r="B475" s="197" t="inlineStr">
        <is>
          <t>Hyundai</t>
        </is>
      </c>
      <c r="C475" s="198" t="inlineStr">
        <is>
          <t>i20</t>
        </is>
      </c>
      <c r="D475" s="199" t="inlineStr">
        <is>
          <t>i20 Era</t>
        </is>
      </c>
      <c r="E475" s="200" t="inlineStr">
        <is>
          <t>Fiery Red</t>
        </is>
      </c>
    </row>
    <row r="476" ht="15" customHeight="1">
      <c r="A476" s="196" t="n">
        <v>472</v>
      </c>
      <c r="B476" s="197" t="inlineStr">
        <is>
          <t>Hyundai</t>
        </is>
      </c>
      <c r="C476" s="198" t="inlineStr">
        <is>
          <t>i20</t>
        </is>
      </c>
      <c r="D476" s="199" t="inlineStr">
        <is>
          <t>i20 Era</t>
        </is>
      </c>
      <c r="E476" s="200" t="inlineStr">
        <is>
          <t>Starry Night</t>
        </is>
      </c>
    </row>
    <row r="477" ht="15" customHeight="1">
      <c r="A477" s="196" t="n">
        <v>473</v>
      </c>
      <c r="B477" s="197" t="inlineStr">
        <is>
          <t>Hyundai</t>
        </is>
      </c>
      <c r="C477" s="198" t="inlineStr">
        <is>
          <t>i20</t>
        </is>
      </c>
      <c r="D477" s="199" t="inlineStr">
        <is>
          <t>i20 Era</t>
        </is>
      </c>
      <c r="E477" s="200" t="inlineStr">
        <is>
          <t>Titan Grey</t>
        </is>
      </c>
    </row>
    <row r="478" ht="15" customHeight="1">
      <c r="A478" s="196" t="n">
        <v>474</v>
      </c>
      <c r="B478" s="197" t="inlineStr">
        <is>
          <t>Hyundai</t>
        </is>
      </c>
      <c r="C478" s="198" t="inlineStr">
        <is>
          <t>i20</t>
        </is>
      </c>
      <c r="D478" s="199" t="inlineStr">
        <is>
          <t>i20 Era</t>
        </is>
      </c>
      <c r="E478" s="200" t="inlineStr">
        <is>
          <t>Typhoon Silver</t>
        </is>
      </c>
    </row>
    <row r="479" ht="15" customHeight="1">
      <c r="A479" s="196" t="n">
        <v>475</v>
      </c>
      <c r="B479" s="197" t="inlineStr">
        <is>
          <t>Hyundai</t>
        </is>
      </c>
      <c r="C479" s="198" t="inlineStr">
        <is>
          <t>i20</t>
        </is>
      </c>
      <c r="D479" s="199" t="inlineStr">
        <is>
          <t>i20 Magna</t>
        </is>
      </c>
      <c r="E479" s="200" t="inlineStr">
        <is>
          <t>Amazon Grey</t>
        </is>
      </c>
    </row>
    <row r="480" ht="15" customHeight="1">
      <c r="A480" s="196" t="n">
        <v>476</v>
      </c>
      <c r="B480" s="197" t="inlineStr">
        <is>
          <t>Hyundai</t>
        </is>
      </c>
      <c r="C480" s="198" t="inlineStr">
        <is>
          <t>i20</t>
        </is>
      </c>
      <c r="D480" s="199" t="inlineStr">
        <is>
          <t>i20 Magna</t>
        </is>
      </c>
      <c r="E480" s="200" t="inlineStr">
        <is>
          <t>Atlas White</t>
        </is>
      </c>
    </row>
    <row r="481" ht="15" customHeight="1">
      <c r="A481" s="196" t="n">
        <v>477</v>
      </c>
      <c r="B481" s="197" t="inlineStr">
        <is>
          <t>Hyundai</t>
        </is>
      </c>
      <c r="C481" s="198" t="inlineStr">
        <is>
          <t>i20</t>
        </is>
      </c>
      <c r="D481" s="199" t="inlineStr">
        <is>
          <t>i20 Magna</t>
        </is>
      </c>
      <c r="E481" s="200" t="inlineStr">
        <is>
          <t>Fiery Red</t>
        </is>
      </c>
    </row>
    <row r="482" ht="15" customHeight="1">
      <c r="A482" s="196" t="n">
        <v>478</v>
      </c>
      <c r="B482" s="197" t="inlineStr">
        <is>
          <t>Hyundai</t>
        </is>
      </c>
      <c r="C482" s="198" t="inlineStr">
        <is>
          <t>i20</t>
        </is>
      </c>
      <c r="D482" s="199" t="inlineStr">
        <is>
          <t>i20 Magna</t>
        </is>
      </c>
      <c r="E482" s="200" t="inlineStr">
        <is>
          <t>Starry Night</t>
        </is>
      </c>
    </row>
    <row r="483" ht="15" customHeight="1">
      <c r="A483" s="196" t="n">
        <v>479</v>
      </c>
      <c r="B483" s="197" t="inlineStr">
        <is>
          <t>Hyundai</t>
        </is>
      </c>
      <c r="C483" s="198" t="inlineStr">
        <is>
          <t>i20</t>
        </is>
      </c>
      <c r="D483" s="199" t="inlineStr">
        <is>
          <t>i20 Magna</t>
        </is>
      </c>
      <c r="E483" s="200" t="inlineStr">
        <is>
          <t>Titan Grey</t>
        </is>
      </c>
    </row>
    <row r="484" ht="15" customHeight="1">
      <c r="A484" s="196" t="n">
        <v>480</v>
      </c>
      <c r="B484" s="197" t="inlineStr">
        <is>
          <t>Hyundai</t>
        </is>
      </c>
      <c r="C484" s="198" t="inlineStr">
        <is>
          <t>i20</t>
        </is>
      </c>
      <c r="D484" s="199" t="inlineStr">
        <is>
          <t>i20 Magna</t>
        </is>
      </c>
      <c r="E484" s="200" t="inlineStr">
        <is>
          <t>Typhoon Silver</t>
        </is>
      </c>
    </row>
    <row r="485" ht="15" customHeight="1">
      <c r="A485" s="196" t="n">
        <v>481</v>
      </c>
      <c r="B485" s="197" t="inlineStr">
        <is>
          <t>Hyundai</t>
        </is>
      </c>
      <c r="C485" s="198" t="inlineStr">
        <is>
          <t>i20</t>
        </is>
      </c>
      <c r="D485" s="199" t="inlineStr">
        <is>
          <t>i20 Magna Executive</t>
        </is>
      </c>
      <c r="E485" s="200" t="inlineStr">
        <is>
          <t>Amazon Grey</t>
        </is>
      </c>
    </row>
    <row r="486" ht="15" customHeight="1">
      <c r="A486" s="196" t="n">
        <v>482</v>
      </c>
      <c r="B486" s="197" t="inlineStr">
        <is>
          <t>Hyundai</t>
        </is>
      </c>
      <c r="C486" s="198" t="inlineStr">
        <is>
          <t>i20</t>
        </is>
      </c>
      <c r="D486" s="199" t="inlineStr">
        <is>
          <t>i20 Magna Executive</t>
        </is>
      </c>
      <c r="E486" s="200" t="inlineStr">
        <is>
          <t>Atlas White</t>
        </is>
      </c>
    </row>
    <row r="487" ht="15" customHeight="1">
      <c r="A487" s="196" t="n">
        <v>483</v>
      </c>
      <c r="B487" s="197" t="inlineStr">
        <is>
          <t>Hyundai</t>
        </is>
      </c>
      <c r="C487" s="198" t="inlineStr">
        <is>
          <t>i20</t>
        </is>
      </c>
      <c r="D487" s="199" t="inlineStr">
        <is>
          <t>i20 Magna Executive</t>
        </is>
      </c>
      <c r="E487" s="200" t="inlineStr">
        <is>
          <t>Fiery Red</t>
        </is>
      </c>
    </row>
    <row r="488" ht="15" customHeight="1">
      <c r="A488" s="196" t="n">
        <v>484</v>
      </c>
      <c r="B488" s="197" t="inlineStr">
        <is>
          <t>Hyundai</t>
        </is>
      </c>
      <c r="C488" s="198" t="inlineStr">
        <is>
          <t>i20</t>
        </is>
      </c>
      <c r="D488" s="199" t="inlineStr">
        <is>
          <t>i20 Magna Executive</t>
        </is>
      </c>
      <c r="E488" s="200" t="inlineStr">
        <is>
          <t>Starry Night</t>
        </is>
      </c>
    </row>
    <row r="489" ht="15" customHeight="1">
      <c r="A489" s="196" t="n">
        <v>485</v>
      </c>
      <c r="B489" s="197" t="inlineStr">
        <is>
          <t>Hyundai</t>
        </is>
      </c>
      <c r="C489" s="198" t="inlineStr">
        <is>
          <t>i20</t>
        </is>
      </c>
      <c r="D489" s="199" t="inlineStr">
        <is>
          <t>i20 Magna Executive</t>
        </is>
      </c>
      <c r="E489" s="200" t="inlineStr">
        <is>
          <t>Titan Grey</t>
        </is>
      </c>
    </row>
    <row r="490" ht="15" customHeight="1">
      <c r="A490" s="196" t="n">
        <v>486</v>
      </c>
      <c r="B490" s="197" t="inlineStr">
        <is>
          <t>Hyundai</t>
        </is>
      </c>
      <c r="C490" s="198" t="inlineStr">
        <is>
          <t>i20</t>
        </is>
      </c>
      <c r="D490" s="199" t="inlineStr">
        <is>
          <t>i20 Magna Executive</t>
        </is>
      </c>
      <c r="E490" s="200" t="inlineStr">
        <is>
          <t>Typhoon Silver</t>
        </is>
      </c>
    </row>
    <row r="491" ht="15" customHeight="1">
      <c r="A491" s="196" t="n">
        <v>487</v>
      </c>
      <c r="B491" s="197" t="inlineStr">
        <is>
          <t>Hyundai</t>
        </is>
      </c>
      <c r="C491" s="198" t="inlineStr">
        <is>
          <t>i20</t>
        </is>
      </c>
      <c r="D491" s="199" t="inlineStr">
        <is>
          <t>i20 Sportz</t>
        </is>
      </c>
      <c r="E491" s="200" t="inlineStr">
        <is>
          <t>Amazon Grey</t>
        </is>
      </c>
    </row>
    <row r="492" ht="15" customHeight="1">
      <c r="A492" s="196" t="n">
        <v>488</v>
      </c>
      <c r="B492" s="197" t="inlineStr">
        <is>
          <t>Hyundai</t>
        </is>
      </c>
      <c r="C492" s="198" t="inlineStr">
        <is>
          <t>i20</t>
        </is>
      </c>
      <c r="D492" s="199" t="inlineStr">
        <is>
          <t>i20 Sportz</t>
        </is>
      </c>
      <c r="E492" s="200" t="inlineStr">
        <is>
          <t>Atlas White</t>
        </is>
      </c>
    </row>
    <row r="493" ht="15" customHeight="1">
      <c r="A493" s="196" t="n">
        <v>489</v>
      </c>
      <c r="B493" s="197" t="inlineStr">
        <is>
          <t>Hyundai</t>
        </is>
      </c>
      <c r="C493" s="198" t="inlineStr">
        <is>
          <t>i20</t>
        </is>
      </c>
      <c r="D493" s="199" t="inlineStr">
        <is>
          <t>i20 Sportz</t>
        </is>
      </c>
      <c r="E493" s="200" t="inlineStr">
        <is>
          <t>Fiery Red</t>
        </is>
      </c>
    </row>
    <row r="494" ht="15" customHeight="1">
      <c r="A494" s="196" t="n">
        <v>490</v>
      </c>
      <c r="B494" s="197" t="inlineStr">
        <is>
          <t>Hyundai</t>
        </is>
      </c>
      <c r="C494" s="198" t="inlineStr">
        <is>
          <t>i20</t>
        </is>
      </c>
      <c r="D494" s="199" t="inlineStr">
        <is>
          <t>i20 Sportz</t>
        </is>
      </c>
      <c r="E494" s="200" t="inlineStr">
        <is>
          <t>Starry Night</t>
        </is>
      </c>
    </row>
    <row r="495" ht="15" customHeight="1">
      <c r="A495" s="196" t="n">
        <v>491</v>
      </c>
      <c r="B495" s="197" t="inlineStr">
        <is>
          <t>Hyundai</t>
        </is>
      </c>
      <c r="C495" s="198" t="inlineStr">
        <is>
          <t>i20</t>
        </is>
      </c>
      <c r="D495" s="199" t="inlineStr">
        <is>
          <t>i20 Sportz</t>
        </is>
      </c>
      <c r="E495" s="200" t="inlineStr">
        <is>
          <t>Titan Grey</t>
        </is>
      </c>
    </row>
    <row r="496" ht="15" customHeight="1">
      <c r="A496" s="196" t="n">
        <v>492</v>
      </c>
      <c r="B496" s="197" t="inlineStr">
        <is>
          <t>Hyundai</t>
        </is>
      </c>
      <c r="C496" s="198" t="inlineStr">
        <is>
          <t>i20</t>
        </is>
      </c>
      <c r="D496" s="199" t="inlineStr">
        <is>
          <t>i20 Sportz</t>
        </is>
      </c>
      <c r="E496" s="200" t="inlineStr">
        <is>
          <t>Typhoon Silver</t>
        </is>
      </c>
    </row>
    <row r="497" ht="15" customHeight="1">
      <c r="A497" s="196" t="n">
        <v>493</v>
      </c>
      <c r="B497" s="197" t="inlineStr">
        <is>
          <t>Hyundai</t>
        </is>
      </c>
      <c r="C497" s="198" t="inlineStr">
        <is>
          <t>i20</t>
        </is>
      </c>
      <c r="D497" s="199" t="inlineStr">
        <is>
          <t>i20 Sportz (O)</t>
        </is>
      </c>
      <c r="E497" s="200" t="inlineStr">
        <is>
          <t>Amazon Grey</t>
        </is>
      </c>
    </row>
    <row r="498" ht="15" customHeight="1">
      <c r="A498" s="196" t="n">
        <v>494</v>
      </c>
      <c r="B498" s="197" t="inlineStr">
        <is>
          <t>Hyundai</t>
        </is>
      </c>
      <c r="C498" s="198" t="inlineStr">
        <is>
          <t>i20</t>
        </is>
      </c>
      <c r="D498" s="199" t="inlineStr">
        <is>
          <t>i20 Sportz (O)</t>
        </is>
      </c>
      <c r="E498" s="200" t="inlineStr">
        <is>
          <t>Atlas White</t>
        </is>
      </c>
    </row>
    <row r="499" ht="15" customHeight="1">
      <c r="A499" s="196" t="n">
        <v>495</v>
      </c>
      <c r="B499" s="197" t="inlineStr">
        <is>
          <t>Hyundai</t>
        </is>
      </c>
      <c r="C499" s="198" t="inlineStr">
        <is>
          <t>i20</t>
        </is>
      </c>
      <c r="D499" s="199" t="inlineStr">
        <is>
          <t>i20 Sportz (O)</t>
        </is>
      </c>
      <c r="E499" s="200" t="inlineStr">
        <is>
          <t>Fiery Red</t>
        </is>
      </c>
    </row>
    <row r="500" ht="15" customHeight="1">
      <c r="A500" s="196" t="n">
        <v>496</v>
      </c>
      <c r="B500" s="197" t="inlineStr">
        <is>
          <t>Hyundai</t>
        </is>
      </c>
      <c r="C500" s="198" t="inlineStr">
        <is>
          <t>i20</t>
        </is>
      </c>
      <c r="D500" s="199" t="inlineStr">
        <is>
          <t>i20 Sportz (O)</t>
        </is>
      </c>
      <c r="E500" s="200" t="inlineStr">
        <is>
          <t>Starry Night</t>
        </is>
      </c>
    </row>
    <row r="501" ht="15" customHeight="1">
      <c r="A501" s="196" t="n">
        <v>497</v>
      </c>
      <c r="B501" s="197" t="inlineStr">
        <is>
          <t>Hyundai</t>
        </is>
      </c>
      <c r="C501" s="198" t="inlineStr">
        <is>
          <t>i20</t>
        </is>
      </c>
      <c r="D501" s="199" t="inlineStr">
        <is>
          <t>i20 Sportz (O)</t>
        </is>
      </c>
      <c r="E501" s="200" t="inlineStr">
        <is>
          <t>Titan Grey</t>
        </is>
      </c>
    </row>
    <row r="502" ht="15" customHeight="1">
      <c r="A502" s="196" t="n">
        <v>498</v>
      </c>
      <c r="B502" s="197" t="inlineStr">
        <is>
          <t>Hyundai</t>
        </is>
      </c>
      <c r="C502" s="198" t="inlineStr">
        <is>
          <t>i20</t>
        </is>
      </c>
      <c r="D502" s="199" t="inlineStr">
        <is>
          <t>i20 Sportz (O)</t>
        </is>
      </c>
      <c r="E502" s="200" t="inlineStr">
        <is>
          <t>Typhoon Silver</t>
        </is>
      </c>
    </row>
    <row r="503" ht="15" customHeight="1">
      <c r="A503" s="196" t="n">
        <v>499</v>
      </c>
      <c r="B503" s="197" t="inlineStr">
        <is>
          <t>Hyundai</t>
        </is>
      </c>
      <c r="C503" s="198" t="inlineStr">
        <is>
          <t>i20</t>
        </is>
      </c>
      <c r="D503" s="199" t="inlineStr">
        <is>
          <t>i20 Sportz (O) Knight Edition</t>
        </is>
      </c>
      <c r="E503" s="200" t="inlineStr">
        <is>
          <t>Abyss Black</t>
        </is>
      </c>
    </row>
    <row r="504" ht="15" customHeight="1">
      <c r="A504" s="206" t="n">
        <v>500</v>
      </c>
      <c r="B504" s="207" t="inlineStr">
        <is>
          <t>Isuzu</t>
        </is>
      </c>
      <c r="C504" s="208" t="inlineStr">
        <is>
          <t>D-Max</t>
        </is>
      </c>
      <c r="D504" s="209" t="inlineStr">
        <is>
          <t>D-Max Flat Deck HR</t>
        </is>
      </c>
      <c r="E504" s="210" t="inlineStr">
        <is>
          <t>Black Mica</t>
        </is>
      </c>
    </row>
    <row r="505" ht="15" customHeight="1">
      <c r="A505" s="206" t="n">
        <v>501</v>
      </c>
      <c r="B505" s="207" t="inlineStr">
        <is>
          <t>Isuzu</t>
        </is>
      </c>
      <c r="C505" s="208" t="inlineStr">
        <is>
          <t>D-Max</t>
        </is>
      </c>
      <c r="D505" s="209" t="inlineStr">
        <is>
          <t>D-Max Flat Deck HR</t>
        </is>
      </c>
      <c r="E505" s="210" t="inlineStr">
        <is>
          <t>Galena Grey</t>
        </is>
      </c>
    </row>
    <row r="506" ht="15" customHeight="1">
      <c r="A506" s="206" t="n">
        <v>502</v>
      </c>
      <c r="B506" s="207" t="inlineStr">
        <is>
          <t>Isuzu</t>
        </is>
      </c>
      <c r="C506" s="208" t="inlineStr">
        <is>
          <t>D-Max</t>
        </is>
      </c>
      <c r="D506" s="209" t="inlineStr">
        <is>
          <t>D-Max Flat Deck HR</t>
        </is>
      </c>
      <c r="E506" s="210" t="inlineStr">
        <is>
          <t>Nautilus Blue</t>
        </is>
      </c>
    </row>
    <row r="507" ht="15" customHeight="1">
      <c r="A507" s="206" t="n">
        <v>503</v>
      </c>
      <c r="B507" s="207" t="inlineStr">
        <is>
          <t>Isuzu</t>
        </is>
      </c>
      <c r="C507" s="208" t="inlineStr">
        <is>
          <t>D-Max</t>
        </is>
      </c>
      <c r="D507" s="209" t="inlineStr">
        <is>
          <t>D-Max Flat Deck HR</t>
        </is>
      </c>
      <c r="E507" s="210" t="inlineStr">
        <is>
          <t>Red Spinal Mica</t>
        </is>
      </c>
    </row>
    <row r="508" ht="15" customHeight="1">
      <c r="A508" s="206" t="n">
        <v>504</v>
      </c>
      <c r="B508" s="207" t="inlineStr">
        <is>
          <t>Isuzu</t>
        </is>
      </c>
      <c r="C508" s="208" t="inlineStr">
        <is>
          <t>D-Max</t>
        </is>
      </c>
      <c r="D508" s="209" t="inlineStr">
        <is>
          <t>D-Max Flat Deck HR</t>
        </is>
      </c>
      <c r="E508" s="210" t="inlineStr">
        <is>
          <t>Silky White Pearl</t>
        </is>
      </c>
    </row>
    <row r="509" ht="15" customHeight="1">
      <c r="A509" s="206" t="n">
        <v>505</v>
      </c>
      <c r="B509" s="207" t="inlineStr">
        <is>
          <t>Isuzu</t>
        </is>
      </c>
      <c r="C509" s="208" t="inlineStr">
        <is>
          <t>D-Max</t>
        </is>
      </c>
      <c r="D509" s="209" t="inlineStr">
        <is>
          <t>D-Max Flat Deck HR</t>
        </is>
      </c>
      <c r="E509" s="210" t="inlineStr">
        <is>
          <t>Silver Metallic</t>
        </is>
      </c>
    </row>
    <row r="510" ht="15" customHeight="1">
      <c r="A510" s="206" t="n">
        <v>506</v>
      </c>
      <c r="B510" s="207" t="inlineStr">
        <is>
          <t>Isuzu</t>
        </is>
      </c>
      <c r="C510" s="208" t="inlineStr">
        <is>
          <t>D-Max</t>
        </is>
      </c>
      <c r="D510" s="209" t="inlineStr">
        <is>
          <t>D-Max Flat Deck HR</t>
        </is>
      </c>
      <c r="E510" s="210" t="inlineStr">
        <is>
          <t>Splash White</t>
        </is>
      </c>
    </row>
    <row r="511" ht="15" customHeight="1">
      <c r="A511" s="206" t="n">
        <v>507</v>
      </c>
      <c r="B511" s="207" t="inlineStr">
        <is>
          <t>Isuzu</t>
        </is>
      </c>
      <c r="C511" s="208" t="inlineStr">
        <is>
          <t>D-Max</t>
        </is>
      </c>
      <c r="D511" s="209" t="inlineStr">
        <is>
          <t>D-Max Flat Deck HR</t>
        </is>
      </c>
      <c r="E511" s="210" t="inlineStr">
        <is>
          <t>Valencia Orange</t>
        </is>
      </c>
    </row>
    <row r="512" ht="15" customHeight="1">
      <c r="A512" s="206" t="n">
        <v>508</v>
      </c>
      <c r="B512" s="207" t="inlineStr">
        <is>
          <t>Isuzu</t>
        </is>
      </c>
      <c r="C512" s="208" t="inlineStr">
        <is>
          <t>Hi-Lander</t>
        </is>
      </c>
      <c r="D512" s="209" t="inlineStr">
        <is>
          <t>Hi-Lander [2021]</t>
        </is>
      </c>
      <c r="E512" s="210" t="inlineStr">
        <is>
          <t>Hi-Lander [2021]</t>
        </is>
      </c>
    </row>
    <row r="513" ht="15" customHeight="1">
      <c r="A513" s="206" t="n">
        <v>509</v>
      </c>
      <c r="B513" s="207" t="inlineStr">
        <is>
          <t>Isuzu</t>
        </is>
      </c>
      <c r="C513" s="208" t="inlineStr">
        <is>
          <t>MU-X</t>
        </is>
      </c>
      <c r="D513" s="209" t="inlineStr">
        <is>
          <t>Isuzu MU-X 4x2 AT</t>
        </is>
      </c>
      <c r="E513" s="210" t="inlineStr">
        <is>
          <t>Black Mica</t>
        </is>
      </c>
    </row>
    <row r="514" ht="15" customHeight="1">
      <c r="A514" s="206" t="n">
        <v>510</v>
      </c>
      <c r="B514" s="207" t="inlineStr">
        <is>
          <t>Isuzu</t>
        </is>
      </c>
      <c r="C514" s="208" t="inlineStr">
        <is>
          <t>MU-X</t>
        </is>
      </c>
      <c r="D514" s="209" t="inlineStr">
        <is>
          <t>Isuzu MU-X 4x2 AT</t>
        </is>
      </c>
      <c r="E514" s="210" t="inlineStr">
        <is>
          <t>Galena Grey</t>
        </is>
      </c>
    </row>
    <row r="515" ht="15" customHeight="1">
      <c r="A515" s="206" t="n">
        <v>511</v>
      </c>
      <c r="B515" s="207" t="inlineStr">
        <is>
          <t>Isuzu</t>
        </is>
      </c>
      <c r="C515" s="208" t="inlineStr">
        <is>
          <t>MU-X</t>
        </is>
      </c>
      <c r="D515" s="209" t="inlineStr">
        <is>
          <t>Isuzu MU-X 4x2 AT</t>
        </is>
      </c>
      <c r="E515" s="210" t="inlineStr">
        <is>
          <t>Nautilus Blue</t>
        </is>
      </c>
    </row>
    <row r="516" ht="15" customHeight="1">
      <c r="A516" s="206" t="n">
        <v>512</v>
      </c>
      <c r="B516" s="207" t="inlineStr">
        <is>
          <t>Isuzu</t>
        </is>
      </c>
      <c r="C516" s="208" t="inlineStr">
        <is>
          <t>MU-X</t>
        </is>
      </c>
      <c r="D516" s="209" t="inlineStr">
        <is>
          <t>Isuzu MU-X 4x2 AT</t>
        </is>
      </c>
      <c r="E516" s="210" t="inlineStr">
        <is>
          <t>Red Spinal Mica</t>
        </is>
      </c>
    </row>
    <row r="517" ht="15" customHeight="1">
      <c r="A517" s="206" t="n">
        <v>513</v>
      </c>
      <c r="B517" s="207" t="inlineStr">
        <is>
          <t>Isuzu</t>
        </is>
      </c>
      <c r="C517" s="208" t="inlineStr">
        <is>
          <t>MU-X</t>
        </is>
      </c>
      <c r="D517" s="209" t="inlineStr">
        <is>
          <t>Isuzu MU-X 4x2 AT</t>
        </is>
      </c>
      <c r="E517" s="210" t="inlineStr">
        <is>
          <t>Silky White Pearl</t>
        </is>
      </c>
    </row>
    <row r="518" ht="15" customHeight="1">
      <c r="A518" s="206" t="n">
        <v>514</v>
      </c>
      <c r="B518" s="207" t="inlineStr">
        <is>
          <t>Isuzu</t>
        </is>
      </c>
      <c r="C518" s="208" t="inlineStr">
        <is>
          <t>MU-X</t>
        </is>
      </c>
      <c r="D518" s="209" t="inlineStr">
        <is>
          <t>Isuzu MU-X 4x2 AT</t>
        </is>
      </c>
      <c r="E518" s="210" t="inlineStr">
        <is>
          <t>Silver Metallic</t>
        </is>
      </c>
    </row>
    <row r="519" ht="15" customHeight="1">
      <c r="A519" s="206" t="n">
        <v>515</v>
      </c>
      <c r="B519" s="207" t="inlineStr">
        <is>
          <t>Isuzu</t>
        </is>
      </c>
      <c r="C519" s="208" t="inlineStr">
        <is>
          <t>MU-X</t>
        </is>
      </c>
      <c r="D519" s="209" t="inlineStr">
        <is>
          <t>MU-X 4x4 AT</t>
        </is>
      </c>
      <c r="E519" s="210" t="inlineStr">
        <is>
          <t>Black Mica</t>
        </is>
      </c>
    </row>
    <row r="520" ht="15" customHeight="1">
      <c r="A520" s="206" t="n">
        <v>516</v>
      </c>
      <c r="B520" s="207" t="inlineStr">
        <is>
          <t>Isuzu</t>
        </is>
      </c>
      <c r="C520" s="208" t="inlineStr">
        <is>
          <t>MU-X</t>
        </is>
      </c>
      <c r="D520" s="209" t="inlineStr">
        <is>
          <t>MU-X 4x4 AT</t>
        </is>
      </c>
      <c r="E520" s="210" t="inlineStr">
        <is>
          <t>Galena Grey</t>
        </is>
      </c>
    </row>
    <row r="521" ht="15" customHeight="1">
      <c r="A521" s="206" t="n">
        <v>517</v>
      </c>
      <c r="B521" s="207" t="inlineStr">
        <is>
          <t>Isuzu</t>
        </is>
      </c>
      <c r="C521" s="208" t="inlineStr">
        <is>
          <t>MU-X</t>
        </is>
      </c>
      <c r="D521" s="209" t="inlineStr">
        <is>
          <t>MU-X 4x4 AT</t>
        </is>
      </c>
      <c r="E521" s="210" t="inlineStr">
        <is>
          <t>Nautilus Blue</t>
        </is>
      </c>
    </row>
    <row r="522" ht="15" customHeight="1">
      <c r="A522" s="206" t="n">
        <v>518</v>
      </c>
      <c r="B522" s="207" t="inlineStr">
        <is>
          <t>Isuzu</t>
        </is>
      </c>
      <c r="C522" s="208" t="inlineStr">
        <is>
          <t>MU-X</t>
        </is>
      </c>
      <c r="D522" s="209" t="inlineStr">
        <is>
          <t>MU-X 4x4 AT</t>
        </is>
      </c>
      <c r="E522" s="210" t="inlineStr">
        <is>
          <t>Red Spinal Mica</t>
        </is>
      </c>
    </row>
    <row r="523" ht="15" customHeight="1">
      <c r="A523" s="206" t="n">
        <v>519</v>
      </c>
      <c r="B523" s="207" t="inlineStr">
        <is>
          <t>Isuzu</t>
        </is>
      </c>
      <c r="C523" s="208" t="inlineStr">
        <is>
          <t>MU-X</t>
        </is>
      </c>
      <c r="D523" s="209" t="inlineStr">
        <is>
          <t>MU-X 4x4 AT</t>
        </is>
      </c>
      <c r="E523" s="210" t="inlineStr">
        <is>
          <t>Silky White Pearl</t>
        </is>
      </c>
    </row>
    <row r="524" ht="15" customHeight="1">
      <c r="A524" s="206" t="n">
        <v>520</v>
      </c>
      <c r="B524" s="207" t="inlineStr">
        <is>
          <t>Isuzu</t>
        </is>
      </c>
      <c r="C524" s="208" t="inlineStr">
        <is>
          <t>MU-X</t>
        </is>
      </c>
      <c r="D524" s="209" t="inlineStr">
        <is>
          <t>MU-X 4x4 AT</t>
        </is>
      </c>
      <c r="E524" s="210" t="inlineStr">
        <is>
          <t>Silver Metallic</t>
        </is>
      </c>
    </row>
    <row r="525" ht="15" customHeight="1">
      <c r="A525" s="206" t="n">
        <v>521</v>
      </c>
      <c r="B525" s="207" t="inlineStr">
        <is>
          <t>Isuzu</t>
        </is>
      </c>
      <c r="C525" s="208" t="inlineStr">
        <is>
          <t>V-Cross</t>
        </is>
      </c>
      <c r="D525" s="209" t="inlineStr">
        <is>
          <t>V-Cross Z  4WD Diesel Turbo  Manual</t>
        </is>
      </c>
      <c r="E525" s="210" t="inlineStr">
        <is>
          <t>Black Mica</t>
        </is>
      </c>
    </row>
    <row r="526" ht="15" customHeight="1">
      <c r="A526" s="206" t="n">
        <v>522</v>
      </c>
      <c r="B526" s="207" t="inlineStr">
        <is>
          <t>Isuzu</t>
        </is>
      </c>
      <c r="C526" s="208" t="inlineStr">
        <is>
          <t>V-Cross</t>
        </is>
      </c>
      <c r="D526" s="209" t="inlineStr">
        <is>
          <t>V-Cross Z  4WD Diesel Turbo  Manual</t>
        </is>
      </c>
      <c r="E526" s="210" t="inlineStr">
        <is>
          <t>Galena Grey</t>
        </is>
      </c>
    </row>
    <row r="527" ht="15" customHeight="1">
      <c r="A527" s="206" t="n">
        <v>523</v>
      </c>
      <c r="B527" s="207" t="inlineStr">
        <is>
          <t>Isuzu</t>
        </is>
      </c>
      <c r="C527" s="208" t="inlineStr">
        <is>
          <t>V-Cross</t>
        </is>
      </c>
      <c r="D527" s="209" t="inlineStr">
        <is>
          <t>V-Cross Z  4WD Diesel Turbo  Manual</t>
        </is>
      </c>
      <c r="E527" s="210" t="inlineStr">
        <is>
          <t>Nautilus Blue</t>
        </is>
      </c>
    </row>
    <row r="528" ht="15" customHeight="1">
      <c r="A528" s="206" t="n">
        <v>524</v>
      </c>
      <c r="B528" s="207" t="inlineStr">
        <is>
          <t>Isuzu</t>
        </is>
      </c>
      <c r="C528" s="208" t="inlineStr">
        <is>
          <t>V-Cross</t>
        </is>
      </c>
      <c r="D528" s="209" t="inlineStr">
        <is>
          <t>V-Cross Z  4WD Diesel Turbo  Manual</t>
        </is>
      </c>
      <c r="E528" s="210" t="inlineStr">
        <is>
          <t>Red Spinel Mica</t>
        </is>
      </c>
    </row>
    <row r="529" ht="15" customHeight="1">
      <c r="A529" s="206" t="n">
        <v>525</v>
      </c>
      <c r="B529" s="207" t="inlineStr">
        <is>
          <t>Isuzu</t>
        </is>
      </c>
      <c r="C529" s="208" t="inlineStr">
        <is>
          <t>V-Cross</t>
        </is>
      </c>
      <c r="D529" s="209" t="inlineStr">
        <is>
          <t>V-Cross Z  4WD Diesel Turbo  Manual</t>
        </is>
      </c>
      <c r="E529" s="210" t="inlineStr">
        <is>
          <t>Silky White Pearl</t>
        </is>
      </c>
    </row>
    <row r="530" ht="15" customHeight="1">
      <c r="A530" s="206" t="n">
        <v>526</v>
      </c>
      <c r="B530" s="207" t="inlineStr">
        <is>
          <t>Isuzu</t>
        </is>
      </c>
      <c r="C530" s="208" t="inlineStr">
        <is>
          <t>V-Cross</t>
        </is>
      </c>
      <c r="D530" s="209" t="inlineStr">
        <is>
          <t>V-Cross Z  4WD Diesel Turbo  Manual</t>
        </is>
      </c>
      <c r="E530" s="210" t="inlineStr">
        <is>
          <t>Silver Metallic</t>
        </is>
      </c>
    </row>
    <row r="531" ht="15" customHeight="1">
      <c r="A531" s="206" t="n">
        <v>527</v>
      </c>
      <c r="B531" s="207" t="inlineStr">
        <is>
          <t>Isuzu</t>
        </is>
      </c>
      <c r="C531" s="208" t="inlineStr">
        <is>
          <t>V-Cross</t>
        </is>
      </c>
      <c r="D531" s="209" t="inlineStr">
        <is>
          <t>V-Cross Z  4WD Diesel Turbo  Manual</t>
        </is>
      </c>
      <c r="E531" s="210" t="inlineStr">
        <is>
          <t>Splash White</t>
        </is>
      </c>
    </row>
    <row r="532" ht="15" customHeight="1">
      <c r="A532" s="206" t="n">
        <v>528</v>
      </c>
      <c r="B532" s="207" t="inlineStr">
        <is>
          <t>Isuzu</t>
        </is>
      </c>
      <c r="C532" s="208" t="inlineStr">
        <is>
          <t>V-Cross</t>
        </is>
      </c>
      <c r="D532" s="209" t="inlineStr">
        <is>
          <t>V-Cross Z Prestige  4WD Diesel Turbo  Automatic</t>
        </is>
      </c>
      <c r="E532" s="210" t="inlineStr">
        <is>
          <t>Black Mica</t>
        </is>
      </c>
    </row>
    <row r="533" ht="15" customHeight="1">
      <c r="A533" s="206" t="n">
        <v>529</v>
      </c>
      <c r="B533" s="207" t="inlineStr">
        <is>
          <t>Isuzu</t>
        </is>
      </c>
      <c r="C533" s="208" t="inlineStr">
        <is>
          <t>V-Cross</t>
        </is>
      </c>
      <c r="D533" s="209" t="inlineStr">
        <is>
          <t>V-Cross Z Prestige  4WD Diesel Turbo  Automatic</t>
        </is>
      </c>
      <c r="E533" s="210" t="inlineStr">
        <is>
          <t>Galena Grey</t>
        </is>
      </c>
    </row>
    <row r="534" ht="15" customHeight="1">
      <c r="A534" s="206" t="n">
        <v>530</v>
      </c>
      <c r="B534" s="207" t="inlineStr">
        <is>
          <t>Isuzu</t>
        </is>
      </c>
      <c r="C534" s="208" t="inlineStr">
        <is>
          <t>V-Cross</t>
        </is>
      </c>
      <c r="D534" s="209" t="inlineStr">
        <is>
          <t>V-Cross Z Prestige  4WD Diesel Turbo  Automatic</t>
        </is>
      </c>
      <c r="E534" s="210" t="inlineStr">
        <is>
          <t>Nautilus Blue</t>
        </is>
      </c>
    </row>
    <row r="535" ht="15" customHeight="1">
      <c r="A535" s="206" t="n">
        <v>531</v>
      </c>
      <c r="B535" s="207" t="inlineStr">
        <is>
          <t>Isuzu</t>
        </is>
      </c>
      <c r="C535" s="208" t="inlineStr">
        <is>
          <t>V-Cross</t>
        </is>
      </c>
      <c r="D535" s="209" t="inlineStr">
        <is>
          <t>V-Cross Z Prestige  4WD Diesel Turbo  Automatic</t>
        </is>
      </c>
      <c r="E535" s="210" t="inlineStr">
        <is>
          <t>Red Spinel Mica</t>
        </is>
      </c>
    </row>
    <row r="536" ht="15" customHeight="1">
      <c r="A536" s="206" t="n">
        <v>532</v>
      </c>
      <c r="B536" s="207" t="inlineStr">
        <is>
          <t>Isuzu</t>
        </is>
      </c>
      <c r="C536" s="208" t="inlineStr">
        <is>
          <t>V-Cross</t>
        </is>
      </c>
      <c r="D536" s="209" t="inlineStr">
        <is>
          <t>V-Cross Z Prestige  4WD Diesel Turbo  Automatic</t>
        </is>
      </c>
      <c r="E536" s="210" t="inlineStr">
        <is>
          <t>Silky White Pearl</t>
        </is>
      </c>
    </row>
    <row r="537" ht="15" customHeight="1">
      <c r="A537" s="206" t="n">
        <v>533</v>
      </c>
      <c r="B537" s="207" t="inlineStr">
        <is>
          <t>Isuzu</t>
        </is>
      </c>
      <c r="C537" s="208" t="inlineStr">
        <is>
          <t>V-Cross</t>
        </is>
      </c>
      <c r="D537" s="209" t="inlineStr">
        <is>
          <t>V-Cross Z Prestige  4WD Diesel Turbo  Automatic</t>
        </is>
      </c>
      <c r="E537" s="210" t="inlineStr">
        <is>
          <t>Silver Metallic</t>
        </is>
      </c>
    </row>
    <row r="538" ht="15" customHeight="1">
      <c r="A538" s="206" t="n">
        <v>534</v>
      </c>
      <c r="B538" s="207" t="inlineStr">
        <is>
          <t>Isuzu</t>
        </is>
      </c>
      <c r="C538" s="208" t="inlineStr">
        <is>
          <t>V-Cross</t>
        </is>
      </c>
      <c r="D538" s="209" t="inlineStr">
        <is>
          <t>V-Cross Z Prestige  4WD Diesel Turbo  Automatic</t>
        </is>
      </c>
      <c r="E538" s="210" t="inlineStr">
        <is>
          <t>Splash White</t>
        </is>
      </c>
    </row>
    <row r="539" ht="15" customHeight="1">
      <c r="A539" s="206" t="n">
        <v>535</v>
      </c>
      <c r="B539" s="207" t="inlineStr">
        <is>
          <t>Isuzu</t>
        </is>
      </c>
      <c r="C539" s="208" t="inlineStr">
        <is>
          <t>V-Cross</t>
        </is>
      </c>
      <c r="D539" s="209" t="inlineStr">
        <is>
          <t>V-Cross Z Prestige  4WD Diesel Turbo  Manual</t>
        </is>
      </c>
      <c r="E539" s="210" t="inlineStr">
        <is>
          <t>Black Mica</t>
        </is>
      </c>
    </row>
    <row r="540" ht="15" customHeight="1">
      <c r="A540" s="206" t="n">
        <v>536</v>
      </c>
      <c r="B540" s="207" t="inlineStr">
        <is>
          <t>Isuzu</t>
        </is>
      </c>
      <c r="C540" s="208" t="inlineStr">
        <is>
          <t>V-Cross</t>
        </is>
      </c>
      <c r="D540" s="209" t="inlineStr">
        <is>
          <t>V-Cross Z Prestige  4WD Diesel Turbo  Manual</t>
        </is>
      </c>
      <c r="E540" s="210" t="inlineStr">
        <is>
          <t>Galena Grey</t>
        </is>
      </c>
    </row>
    <row r="541" ht="15" customHeight="1">
      <c r="A541" s="206" t="n">
        <v>537</v>
      </c>
      <c r="B541" s="207" t="inlineStr">
        <is>
          <t>Isuzu</t>
        </is>
      </c>
      <c r="C541" s="208" t="inlineStr">
        <is>
          <t>V-Cross</t>
        </is>
      </c>
      <c r="D541" s="209" t="inlineStr">
        <is>
          <t>V-Cross Z Prestige  4WD Diesel Turbo  Manual</t>
        </is>
      </c>
      <c r="E541" s="210" t="inlineStr">
        <is>
          <t>Nautilus Blue</t>
        </is>
      </c>
    </row>
    <row r="542" ht="15" customHeight="1">
      <c r="A542" s="206" t="n">
        <v>538</v>
      </c>
      <c r="B542" s="207" t="inlineStr">
        <is>
          <t>Isuzu</t>
        </is>
      </c>
      <c r="C542" s="208" t="inlineStr">
        <is>
          <t>V-Cross</t>
        </is>
      </c>
      <c r="D542" s="209" t="inlineStr">
        <is>
          <t>V-Cross Z Prestige  4WD Diesel Turbo  Manual</t>
        </is>
      </c>
      <c r="E542" s="210" t="inlineStr">
        <is>
          <t>Red Spinel Mica</t>
        </is>
      </c>
    </row>
    <row r="543" ht="15" customHeight="1">
      <c r="A543" s="206" t="n">
        <v>539</v>
      </c>
      <c r="B543" s="207" t="inlineStr">
        <is>
          <t>Isuzu</t>
        </is>
      </c>
      <c r="C543" s="208" t="inlineStr">
        <is>
          <t>V-Cross</t>
        </is>
      </c>
      <c r="D543" s="209" t="inlineStr">
        <is>
          <t>V-Cross Z Prestige  4WD Diesel Turbo  Manual</t>
        </is>
      </c>
      <c r="E543" s="210" t="inlineStr">
        <is>
          <t>Silky White Pearl</t>
        </is>
      </c>
    </row>
    <row r="544" ht="15" customHeight="1">
      <c r="A544" s="206" t="n">
        <v>540</v>
      </c>
      <c r="B544" s="207" t="inlineStr">
        <is>
          <t>Isuzu</t>
        </is>
      </c>
      <c r="C544" s="208" t="inlineStr">
        <is>
          <t>V-Cross</t>
        </is>
      </c>
      <c r="D544" s="209" t="inlineStr">
        <is>
          <t>V-Cross Z Prestige  4WD Diesel Turbo  Manual</t>
        </is>
      </c>
      <c r="E544" s="210" t="inlineStr">
        <is>
          <t>Silver Metallic</t>
        </is>
      </c>
    </row>
    <row r="545" ht="15" customHeight="1">
      <c r="A545" s="206" t="n">
        <v>541</v>
      </c>
      <c r="B545" s="207" t="inlineStr">
        <is>
          <t>Isuzu</t>
        </is>
      </c>
      <c r="C545" s="208" t="inlineStr">
        <is>
          <t>V-Cross</t>
        </is>
      </c>
      <c r="D545" s="209" t="inlineStr">
        <is>
          <t>V-Cross Z Prestige  4WD Diesel Turbo  Manual</t>
        </is>
      </c>
      <c r="E545" s="210" t="inlineStr">
        <is>
          <t>Splash White</t>
        </is>
      </c>
    </row>
    <row r="546" ht="15" customHeight="1">
      <c r="A546" s="196" t="n">
        <v>542</v>
      </c>
      <c r="B546" s="197" t="inlineStr">
        <is>
          <t>Jeep</t>
        </is>
      </c>
      <c r="C546" s="198" t="inlineStr">
        <is>
          <t>Compass</t>
        </is>
      </c>
      <c r="D546" s="199" t="inlineStr">
        <is>
          <t>Compass Limited (O)</t>
        </is>
      </c>
      <c r="E546" s="200" t="inlineStr">
        <is>
          <t>Brilliant Black</t>
        </is>
      </c>
    </row>
    <row r="547" ht="15" customHeight="1">
      <c r="A547" s="196" t="n">
        <v>543</v>
      </c>
      <c r="B547" s="197" t="inlineStr">
        <is>
          <t>Jeep</t>
        </is>
      </c>
      <c r="C547" s="198" t="inlineStr">
        <is>
          <t>Compass</t>
        </is>
      </c>
      <c r="D547" s="199" t="inlineStr">
        <is>
          <t>Compass Limited (O)</t>
        </is>
      </c>
      <c r="E547" s="200" t="inlineStr">
        <is>
          <t>Galaxy Blue</t>
        </is>
      </c>
    </row>
    <row r="548" ht="15" customHeight="1">
      <c r="A548" s="196" t="n">
        <v>544</v>
      </c>
      <c r="B548" s="197" t="inlineStr">
        <is>
          <t>Jeep</t>
        </is>
      </c>
      <c r="C548" s="198" t="inlineStr">
        <is>
          <t>Compass</t>
        </is>
      </c>
      <c r="D548" s="199" t="inlineStr">
        <is>
          <t>Compass Limited (O)</t>
        </is>
      </c>
      <c r="E548" s="200" t="inlineStr">
        <is>
          <t>Grigio Magnesio grey</t>
        </is>
      </c>
    </row>
    <row r="549" ht="15" customHeight="1">
      <c r="A549" s="196" t="n">
        <v>545</v>
      </c>
      <c r="B549" s="197" t="inlineStr">
        <is>
          <t>Jeep</t>
        </is>
      </c>
      <c r="C549" s="198" t="inlineStr">
        <is>
          <t>Compass</t>
        </is>
      </c>
      <c r="D549" s="199" t="inlineStr">
        <is>
          <t>Compass Limited (O)</t>
        </is>
      </c>
      <c r="E549" s="200" t="inlineStr">
        <is>
          <t>Pearl White</t>
        </is>
      </c>
    </row>
    <row r="550" ht="15" customHeight="1">
      <c r="A550" s="196" t="n">
        <v>546</v>
      </c>
      <c r="B550" s="197" t="inlineStr">
        <is>
          <t>Jeep</t>
        </is>
      </c>
      <c r="C550" s="198" t="inlineStr">
        <is>
          <t>Compass</t>
        </is>
      </c>
      <c r="D550" s="199" t="inlineStr">
        <is>
          <t>Compass Limited (O)</t>
        </is>
      </c>
      <c r="E550" s="200" t="inlineStr">
        <is>
          <t>Silvery Moon</t>
        </is>
      </c>
    </row>
    <row r="551" ht="15" customHeight="1">
      <c r="A551" s="196" t="n">
        <v>547</v>
      </c>
      <c r="B551" s="197" t="inlineStr">
        <is>
          <t>Jeep</t>
        </is>
      </c>
      <c r="C551" s="198" t="inlineStr">
        <is>
          <t>Compass</t>
        </is>
      </c>
      <c r="D551" s="199" t="inlineStr">
        <is>
          <t>Compass Limited (O)</t>
        </is>
      </c>
      <c r="E551" s="200" t="inlineStr">
        <is>
          <t>Techno Metallic Green</t>
        </is>
      </c>
    </row>
    <row r="552" ht="15" customHeight="1">
      <c r="A552" s="196" t="n">
        <v>548</v>
      </c>
      <c r="B552" s="197" t="inlineStr">
        <is>
          <t>Jeep</t>
        </is>
      </c>
      <c r="C552" s="198" t="inlineStr">
        <is>
          <t>Compass</t>
        </is>
      </c>
      <c r="D552" s="199" t="inlineStr">
        <is>
          <t>Compass Longitude</t>
        </is>
      </c>
      <c r="E552" s="200" t="inlineStr">
        <is>
          <t>Brilliant Black</t>
        </is>
      </c>
    </row>
    <row r="553" ht="15" customHeight="1">
      <c r="A553" s="196" t="n">
        <v>549</v>
      </c>
      <c r="B553" s="197" t="inlineStr">
        <is>
          <t>Jeep</t>
        </is>
      </c>
      <c r="C553" s="198" t="inlineStr">
        <is>
          <t>Compass</t>
        </is>
      </c>
      <c r="D553" s="199" t="inlineStr">
        <is>
          <t>Compass Longitude</t>
        </is>
      </c>
      <c r="E553" s="200" t="inlineStr">
        <is>
          <t>Galaxy Blue</t>
        </is>
      </c>
    </row>
    <row r="554" ht="15" customHeight="1">
      <c r="A554" s="196" t="n">
        <v>550</v>
      </c>
      <c r="B554" s="197" t="inlineStr">
        <is>
          <t>Jeep</t>
        </is>
      </c>
      <c r="C554" s="198" t="inlineStr">
        <is>
          <t>Compass</t>
        </is>
      </c>
      <c r="D554" s="199" t="inlineStr">
        <is>
          <t>Compass Longitude</t>
        </is>
      </c>
      <c r="E554" s="200" t="inlineStr">
        <is>
          <t>Grigio Magnesio grey</t>
        </is>
      </c>
    </row>
    <row r="555" ht="15" customHeight="1">
      <c r="A555" s="196" t="n">
        <v>551</v>
      </c>
      <c r="B555" s="197" t="inlineStr">
        <is>
          <t>Jeep</t>
        </is>
      </c>
      <c r="C555" s="198" t="inlineStr">
        <is>
          <t>Compass</t>
        </is>
      </c>
      <c r="D555" s="199" t="inlineStr">
        <is>
          <t>Compass Longitude</t>
        </is>
      </c>
      <c r="E555" s="200" t="inlineStr">
        <is>
          <t>Pearl White</t>
        </is>
      </c>
    </row>
    <row r="556" ht="15" customHeight="1">
      <c r="A556" s="196" t="n">
        <v>552</v>
      </c>
      <c r="B556" s="197" t="inlineStr">
        <is>
          <t>Jeep</t>
        </is>
      </c>
      <c r="C556" s="198" t="inlineStr">
        <is>
          <t>Compass</t>
        </is>
      </c>
      <c r="D556" s="199" t="inlineStr">
        <is>
          <t>Compass Longitude</t>
        </is>
      </c>
      <c r="E556" s="200" t="inlineStr">
        <is>
          <t>Silvery Moon</t>
        </is>
      </c>
    </row>
    <row r="557" ht="15" customHeight="1">
      <c r="A557" s="196" t="n">
        <v>553</v>
      </c>
      <c r="B557" s="197" t="inlineStr">
        <is>
          <t>Jeep</t>
        </is>
      </c>
      <c r="C557" s="198" t="inlineStr">
        <is>
          <t>Compass</t>
        </is>
      </c>
      <c r="D557" s="199" t="inlineStr">
        <is>
          <t>Compass Longitude</t>
        </is>
      </c>
      <c r="E557" s="200" t="inlineStr">
        <is>
          <t>Techno Metallic Green</t>
        </is>
      </c>
    </row>
    <row r="558" ht="15" customHeight="1">
      <c r="A558" s="196" t="n">
        <v>554</v>
      </c>
      <c r="B558" s="197" t="inlineStr">
        <is>
          <t>Jeep</t>
        </is>
      </c>
      <c r="C558" s="198" t="inlineStr">
        <is>
          <t>Compass</t>
        </is>
      </c>
      <c r="D558" s="199" t="inlineStr">
        <is>
          <t>Compass Longitude (O)</t>
        </is>
      </c>
      <c r="E558" s="200" t="inlineStr">
        <is>
          <t>Brilliant Black</t>
        </is>
      </c>
    </row>
    <row r="559" ht="15" customHeight="1">
      <c r="A559" s="196" t="n">
        <v>555</v>
      </c>
      <c r="B559" s="197" t="inlineStr">
        <is>
          <t>Jeep</t>
        </is>
      </c>
      <c r="C559" s="198" t="inlineStr">
        <is>
          <t>Compass</t>
        </is>
      </c>
      <c r="D559" s="199" t="inlineStr">
        <is>
          <t>Compass Longitude (O)</t>
        </is>
      </c>
      <c r="E559" s="200" t="inlineStr">
        <is>
          <t>Galaxy Blue</t>
        </is>
      </c>
    </row>
    <row r="560" ht="15" customHeight="1">
      <c r="A560" s="196" t="n">
        <v>556</v>
      </c>
      <c r="B560" s="197" t="inlineStr">
        <is>
          <t>Jeep</t>
        </is>
      </c>
      <c r="C560" s="198" t="inlineStr">
        <is>
          <t>Compass</t>
        </is>
      </c>
      <c r="D560" s="199" t="inlineStr">
        <is>
          <t>Compass Longitude (O)</t>
        </is>
      </c>
      <c r="E560" s="200" t="inlineStr">
        <is>
          <t>Grigio Magnesio grey</t>
        </is>
      </c>
    </row>
    <row r="561" ht="15" customHeight="1">
      <c r="A561" s="196" t="n">
        <v>557</v>
      </c>
      <c r="B561" s="197" t="inlineStr">
        <is>
          <t>Jeep</t>
        </is>
      </c>
      <c r="C561" s="198" t="inlineStr">
        <is>
          <t>Compass</t>
        </is>
      </c>
      <c r="D561" s="199" t="inlineStr">
        <is>
          <t>Compass Longitude (O)</t>
        </is>
      </c>
      <c r="E561" s="200" t="inlineStr">
        <is>
          <t>Pearl White</t>
        </is>
      </c>
    </row>
    <row r="562" ht="15" customHeight="1">
      <c r="A562" s="196" t="n">
        <v>558</v>
      </c>
      <c r="B562" s="197" t="inlineStr">
        <is>
          <t>Jeep</t>
        </is>
      </c>
      <c r="C562" s="198" t="inlineStr">
        <is>
          <t>Compass</t>
        </is>
      </c>
      <c r="D562" s="199" t="inlineStr">
        <is>
          <t>Compass Longitude (O)</t>
        </is>
      </c>
      <c r="E562" s="200" t="inlineStr">
        <is>
          <t>Silvery Moon</t>
        </is>
      </c>
    </row>
    <row r="563" ht="15" customHeight="1">
      <c r="A563" s="196" t="n">
        <v>559</v>
      </c>
      <c r="B563" s="197" t="inlineStr">
        <is>
          <t>Jeep</t>
        </is>
      </c>
      <c r="C563" s="198" t="inlineStr">
        <is>
          <t>Compass</t>
        </is>
      </c>
      <c r="D563" s="199" t="inlineStr">
        <is>
          <t>Compass Longitude (O)</t>
        </is>
      </c>
      <c r="E563" s="200" t="inlineStr">
        <is>
          <t>Techno Metallic Green</t>
        </is>
      </c>
    </row>
    <row r="564" ht="15" customHeight="1">
      <c r="A564" s="196" t="n">
        <v>560</v>
      </c>
      <c r="B564" s="197" t="inlineStr">
        <is>
          <t>Jeep</t>
        </is>
      </c>
      <c r="C564" s="198" t="inlineStr">
        <is>
          <t>Compass</t>
        </is>
      </c>
      <c r="D564" s="199" t="inlineStr">
        <is>
          <t>Compass Model S (O)</t>
        </is>
      </c>
      <c r="E564" s="200" t="inlineStr">
        <is>
          <t>Brilliant Black</t>
        </is>
      </c>
    </row>
    <row r="565" ht="15" customHeight="1">
      <c r="A565" s="196" t="n">
        <v>561</v>
      </c>
      <c r="B565" s="197" t="inlineStr">
        <is>
          <t>Jeep</t>
        </is>
      </c>
      <c r="C565" s="198" t="inlineStr">
        <is>
          <t>Compass</t>
        </is>
      </c>
      <c r="D565" s="199" t="inlineStr">
        <is>
          <t>Compass Model S (O)</t>
        </is>
      </c>
      <c r="E565" s="200" t="inlineStr">
        <is>
          <t>Exotica Red</t>
        </is>
      </c>
    </row>
    <row r="566" ht="15" customHeight="1">
      <c r="A566" s="196" t="n">
        <v>562</v>
      </c>
      <c r="B566" s="197" t="inlineStr">
        <is>
          <t>Jeep</t>
        </is>
      </c>
      <c r="C566" s="198" t="inlineStr">
        <is>
          <t>Compass</t>
        </is>
      </c>
      <c r="D566" s="199" t="inlineStr">
        <is>
          <t>Compass Model S (O)</t>
        </is>
      </c>
      <c r="E566" s="200" t="inlineStr">
        <is>
          <t>Galaxy Blue</t>
        </is>
      </c>
    </row>
    <row r="567" ht="15" customHeight="1">
      <c r="A567" s="196" t="n">
        <v>563</v>
      </c>
      <c r="B567" s="197" t="inlineStr">
        <is>
          <t>Jeep</t>
        </is>
      </c>
      <c r="C567" s="198" t="inlineStr">
        <is>
          <t>Compass</t>
        </is>
      </c>
      <c r="D567" s="199" t="inlineStr">
        <is>
          <t>Compass Model S (O)</t>
        </is>
      </c>
      <c r="E567" s="200" t="inlineStr">
        <is>
          <t>Grigio Magnesio grey</t>
        </is>
      </c>
    </row>
    <row r="568" ht="15" customHeight="1">
      <c r="A568" s="196" t="n">
        <v>564</v>
      </c>
      <c r="B568" s="197" t="inlineStr">
        <is>
          <t>Jeep</t>
        </is>
      </c>
      <c r="C568" s="198" t="inlineStr">
        <is>
          <t>Compass</t>
        </is>
      </c>
      <c r="D568" s="199" t="inlineStr">
        <is>
          <t>Compass Model S (O)</t>
        </is>
      </c>
      <c r="E568" s="200" t="inlineStr">
        <is>
          <t>Pearl White</t>
        </is>
      </c>
    </row>
    <row r="569" ht="15" customHeight="1">
      <c r="A569" s="196" t="n">
        <v>565</v>
      </c>
      <c r="B569" s="197" t="inlineStr">
        <is>
          <t>Jeep</t>
        </is>
      </c>
      <c r="C569" s="198" t="inlineStr">
        <is>
          <t>Compass</t>
        </is>
      </c>
      <c r="D569" s="199" t="inlineStr">
        <is>
          <t>Compass Model S (O)</t>
        </is>
      </c>
      <c r="E569" s="200" t="inlineStr">
        <is>
          <t>Silvery Moon</t>
        </is>
      </c>
    </row>
    <row r="570" ht="15" customHeight="1">
      <c r="A570" s="196" t="n">
        <v>566</v>
      </c>
      <c r="B570" s="197" t="inlineStr">
        <is>
          <t>Jeep</t>
        </is>
      </c>
      <c r="C570" s="198" t="inlineStr">
        <is>
          <t>Compass</t>
        </is>
      </c>
      <c r="D570" s="199" t="inlineStr">
        <is>
          <t>Compass Model S (O)</t>
        </is>
      </c>
      <c r="E570" s="200" t="inlineStr">
        <is>
          <t>Techno Metallic Green</t>
        </is>
      </c>
    </row>
    <row r="571" ht="15" customHeight="1">
      <c r="A571" s="196" t="n">
        <v>567</v>
      </c>
      <c r="B571" s="197" t="inlineStr">
        <is>
          <t>Jeep</t>
        </is>
      </c>
      <c r="C571" s="198" t="inlineStr">
        <is>
          <t>Compass</t>
        </is>
      </c>
      <c r="D571" s="199" t="inlineStr">
        <is>
          <t>Compass Sport</t>
        </is>
      </c>
      <c r="E571" s="200" t="inlineStr">
        <is>
          <t>Brilliant Black</t>
        </is>
      </c>
    </row>
    <row r="572" ht="15" customHeight="1">
      <c r="A572" s="196" t="n">
        <v>568</v>
      </c>
      <c r="B572" s="197" t="inlineStr">
        <is>
          <t>Jeep</t>
        </is>
      </c>
      <c r="C572" s="198" t="inlineStr">
        <is>
          <t>Compass</t>
        </is>
      </c>
      <c r="D572" s="199" t="inlineStr">
        <is>
          <t>Compass Sport</t>
        </is>
      </c>
      <c r="E572" s="200" t="inlineStr">
        <is>
          <t>Exotica Red</t>
        </is>
      </c>
    </row>
    <row r="573" ht="15" customHeight="1">
      <c r="A573" s="196" t="n">
        <v>569</v>
      </c>
      <c r="B573" s="197" t="inlineStr">
        <is>
          <t>Jeep</t>
        </is>
      </c>
      <c r="C573" s="198" t="inlineStr">
        <is>
          <t>Compass</t>
        </is>
      </c>
      <c r="D573" s="199" t="inlineStr">
        <is>
          <t>Compass Sport</t>
        </is>
      </c>
      <c r="E573" s="200" t="inlineStr">
        <is>
          <t>Galaxy Blue</t>
        </is>
      </c>
    </row>
    <row r="574" ht="15" customHeight="1">
      <c r="A574" s="196" t="n">
        <v>570</v>
      </c>
      <c r="B574" s="197" t="inlineStr">
        <is>
          <t>Jeep</t>
        </is>
      </c>
      <c r="C574" s="198" t="inlineStr">
        <is>
          <t>Compass</t>
        </is>
      </c>
      <c r="D574" s="199" t="inlineStr">
        <is>
          <t>Compass Sport</t>
        </is>
      </c>
      <c r="E574" s="200" t="inlineStr">
        <is>
          <t>Grigio Magnesio grey</t>
        </is>
      </c>
    </row>
    <row r="575" ht="15" customHeight="1">
      <c r="A575" s="196" t="n">
        <v>571</v>
      </c>
      <c r="B575" s="197" t="inlineStr">
        <is>
          <t>Jeep</t>
        </is>
      </c>
      <c r="C575" s="198" t="inlineStr">
        <is>
          <t>Compass</t>
        </is>
      </c>
      <c r="D575" s="199" t="inlineStr">
        <is>
          <t>Compass Sport</t>
        </is>
      </c>
      <c r="E575" s="200" t="inlineStr">
        <is>
          <t>Pearl White</t>
        </is>
      </c>
    </row>
    <row r="576" ht="15" customHeight="1">
      <c r="A576" s="196" t="n">
        <v>572</v>
      </c>
      <c r="B576" s="197" t="inlineStr">
        <is>
          <t>Jeep</t>
        </is>
      </c>
      <c r="C576" s="198" t="inlineStr">
        <is>
          <t>Compass</t>
        </is>
      </c>
      <c r="D576" s="199" t="inlineStr">
        <is>
          <t>Compass Sport</t>
        </is>
      </c>
      <c r="E576" s="200" t="inlineStr">
        <is>
          <t>Silvery Moon</t>
        </is>
      </c>
    </row>
    <row r="577" ht="15" customHeight="1">
      <c r="A577" s="196" t="n">
        <v>573</v>
      </c>
      <c r="B577" s="197" t="inlineStr">
        <is>
          <t>Jeep</t>
        </is>
      </c>
      <c r="C577" s="198" t="inlineStr">
        <is>
          <t>Compass</t>
        </is>
      </c>
      <c r="D577" s="199" t="inlineStr">
        <is>
          <t>Compass Sport</t>
        </is>
      </c>
      <c r="E577" s="200" t="inlineStr">
        <is>
          <t>Techno Metallic Green</t>
        </is>
      </c>
    </row>
    <row r="578" ht="15" customHeight="1">
      <c r="A578" s="196" t="n">
        <v>574</v>
      </c>
      <c r="B578" s="197" t="inlineStr">
        <is>
          <t>Jeep</t>
        </is>
      </c>
      <c r="C578" s="198" t="inlineStr">
        <is>
          <t>Compass</t>
        </is>
      </c>
      <c r="D578" s="199" t="inlineStr">
        <is>
          <t>Compass Track Edition</t>
        </is>
      </c>
      <c r="E578" s="200" t="inlineStr">
        <is>
          <t>Brilliant Black</t>
        </is>
      </c>
    </row>
    <row r="579" ht="15" customHeight="1">
      <c r="A579" s="196" t="n">
        <v>575</v>
      </c>
      <c r="B579" s="197" t="inlineStr">
        <is>
          <t>Jeep</t>
        </is>
      </c>
      <c r="C579" s="198" t="inlineStr">
        <is>
          <t>Compass</t>
        </is>
      </c>
      <c r="D579" s="199" t="inlineStr">
        <is>
          <t>Compass Track Edition</t>
        </is>
      </c>
      <c r="E579" s="200" t="inlineStr">
        <is>
          <t>Galaxy Blue</t>
        </is>
      </c>
    </row>
    <row r="580" ht="15" customHeight="1">
      <c r="A580" s="196" t="n">
        <v>576</v>
      </c>
      <c r="B580" s="197" t="inlineStr">
        <is>
          <t>Jeep</t>
        </is>
      </c>
      <c r="C580" s="198" t="inlineStr">
        <is>
          <t>Compass</t>
        </is>
      </c>
      <c r="D580" s="199" t="inlineStr">
        <is>
          <t>Compass Track Edition</t>
        </is>
      </c>
      <c r="E580" s="200" t="inlineStr">
        <is>
          <t>Grigio Magnesio grey</t>
        </is>
      </c>
    </row>
    <row r="581" ht="15" customHeight="1">
      <c r="A581" s="196" t="n">
        <v>577</v>
      </c>
      <c r="B581" s="197" t="inlineStr">
        <is>
          <t>Jeep</t>
        </is>
      </c>
      <c r="C581" s="198" t="inlineStr">
        <is>
          <t>Compass</t>
        </is>
      </c>
      <c r="D581" s="199" t="inlineStr">
        <is>
          <t>Compass Track Edition</t>
        </is>
      </c>
      <c r="E581" s="200" t="inlineStr">
        <is>
          <t>Pearl White</t>
        </is>
      </c>
    </row>
    <row r="582" ht="15" customHeight="1">
      <c r="A582" s="196" t="n">
        <v>578</v>
      </c>
      <c r="B582" s="197" t="inlineStr">
        <is>
          <t>Jeep</t>
        </is>
      </c>
      <c r="C582" s="198" t="inlineStr">
        <is>
          <t>Compass</t>
        </is>
      </c>
      <c r="D582" s="199" t="inlineStr">
        <is>
          <t>Compass Track Edition</t>
        </is>
      </c>
      <c r="E582" s="200" t="inlineStr">
        <is>
          <t>Silvery Moon</t>
        </is>
      </c>
    </row>
    <row r="583" ht="15" customHeight="1">
      <c r="A583" s="196" t="n">
        <v>579</v>
      </c>
      <c r="B583" s="197" t="inlineStr">
        <is>
          <t>Jeep</t>
        </is>
      </c>
      <c r="C583" s="198" t="inlineStr">
        <is>
          <t>Compass</t>
        </is>
      </c>
      <c r="D583" s="199" t="inlineStr">
        <is>
          <t>Compass Track Edition</t>
        </is>
      </c>
      <c r="E583" s="200" t="inlineStr">
        <is>
          <t>Techno Metallic Green</t>
        </is>
      </c>
    </row>
    <row r="584" ht="15" customHeight="1">
      <c r="A584" s="196" t="n">
        <v>580</v>
      </c>
      <c r="B584" s="197" t="inlineStr">
        <is>
          <t>Jeep</t>
        </is>
      </c>
      <c r="C584" s="198" t="inlineStr">
        <is>
          <t>Compass</t>
        </is>
      </c>
      <c r="D584" s="199" t="inlineStr">
        <is>
          <t>Compass Trail Edition</t>
        </is>
      </c>
      <c r="E584" s="200" t="inlineStr">
        <is>
          <t>Brilliant Black</t>
        </is>
      </c>
    </row>
    <row r="585" ht="15" customHeight="1">
      <c r="A585" s="196" t="n">
        <v>581</v>
      </c>
      <c r="B585" s="197" t="inlineStr">
        <is>
          <t>Jeep</t>
        </is>
      </c>
      <c r="C585" s="198" t="inlineStr">
        <is>
          <t>Compass</t>
        </is>
      </c>
      <c r="D585" s="199" t="inlineStr">
        <is>
          <t>Compass Trail Edition</t>
        </is>
      </c>
      <c r="E585" s="200" t="inlineStr">
        <is>
          <t>Galaxy Blue</t>
        </is>
      </c>
    </row>
    <row r="586" ht="15" customHeight="1">
      <c r="A586" s="196" t="n">
        <v>582</v>
      </c>
      <c r="B586" s="197" t="inlineStr">
        <is>
          <t>Jeep</t>
        </is>
      </c>
      <c r="C586" s="198" t="inlineStr">
        <is>
          <t>Compass</t>
        </is>
      </c>
      <c r="D586" s="199" t="inlineStr">
        <is>
          <t>Compass Trail Edition</t>
        </is>
      </c>
      <c r="E586" s="200" t="inlineStr">
        <is>
          <t>Grigio Magnesio grey</t>
        </is>
      </c>
    </row>
    <row r="587" ht="15" customHeight="1">
      <c r="A587" s="196" t="n">
        <v>583</v>
      </c>
      <c r="B587" s="197" t="inlineStr">
        <is>
          <t>Jeep</t>
        </is>
      </c>
      <c r="C587" s="198" t="inlineStr">
        <is>
          <t>Compass</t>
        </is>
      </c>
      <c r="D587" s="199" t="inlineStr">
        <is>
          <t>Compass Trail Edition</t>
        </is>
      </c>
      <c r="E587" s="200" t="inlineStr">
        <is>
          <t>Pearl White</t>
        </is>
      </c>
    </row>
    <row r="588" ht="15" customHeight="1">
      <c r="A588" s="196" t="n">
        <v>584</v>
      </c>
      <c r="B588" s="197" t="inlineStr">
        <is>
          <t>Jeep</t>
        </is>
      </c>
      <c r="C588" s="198" t="inlineStr">
        <is>
          <t>Compass</t>
        </is>
      </c>
      <c r="D588" s="199" t="inlineStr">
        <is>
          <t>Compass Trail Edition</t>
        </is>
      </c>
      <c r="E588" s="200" t="inlineStr">
        <is>
          <t>Silvery Moon</t>
        </is>
      </c>
    </row>
    <row r="589" ht="15" customHeight="1">
      <c r="A589" s="196" t="n">
        <v>585</v>
      </c>
      <c r="B589" s="197" t="inlineStr">
        <is>
          <t>Jeep</t>
        </is>
      </c>
      <c r="C589" s="198" t="inlineStr">
        <is>
          <t>Compass</t>
        </is>
      </c>
      <c r="D589" s="199" t="inlineStr">
        <is>
          <t>Compass Trail Edition</t>
        </is>
      </c>
      <c r="E589" s="200" t="inlineStr">
        <is>
          <t>Techno Metallic Green</t>
        </is>
      </c>
    </row>
    <row r="590" ht="15" customHeight="1">
      <c r="A590" s="196" t="n">
        <v>586</v>
      </c>
      <c r="B590" s="197" t="inlineStr">
        <is>
          <t>Jeep</t>
        </is>
      </c>
      <c r="C590" s="198" t="inlineStr">
        <is>
          <t>Grand Cherokee</t>
        </is>
      </c>
      <c r="D590" s="199" t="inlineStr">
        <is>
          <t>Grand Cherokee Limited (O)</t>
        </is>
      </c>
      <c r="E590" s="200" t="inlineStr">
        <is>
          <t>Bright White</t>
        </is>
      </c>
    </row>
    <row r="591" ht="15" customHeight="1">
      <c r="A591" s="196" t="n">
        <v>587</v>
      </c>
      <c r="B591" s="197" t="inlineStr">
        <is>
          <t>Jeep</t>
        </is>
      </c>
      <c r="C591" s="198" t="inlineStr">
        <is>
          <t>Grand Cherokee</t>
        </is>
      </c>
      <c r="D591" s="199" t="inlineStr">
        <is>
          <t>Grand Cherokee Limited (O)</t>
        </is>
      </c>
      <c r="E591" s="200" t="inlineStr">
        <is>
          <t>Diamond Black Crystal</t>
        </is>
      </c>
    </row>
    <row r="592" ht="15" customHeight="1">
      <c r="A592" s="196" t="n">
        <v>588</v>
      </c>
      <c r="B592" s="197" t="inlineStr">
        <is>
          <t>Jeep</t>
        </is>
      </c>
      <c r="C592" s="198" t="inlineStr">
        <is>
          <t>Grand Cherokee</t>
        </is>
      </c>
      <c r="D592" s="199" t="inlineStr">
        <is>
          <t>Grand Cherokee Limited (O)</t>
        </is>
      </c>
      <c r="E592" s="200" t="inlineStr">
        <is>
          <t>Rocky Mountain</t>
        </is>
      </c>
    </row>
    <row r="593" ht="15" customHeight="1">
      <c r="A593" s="196" t="n">
        <v>589</v>
      </c>
      <c r="B593" s="197" t="inlineStr">
        <is>
          <t>Jeep</t>
        </is>
      </c>
      <c r="C593" s="198" t="inlineStr">
        <is>
          <t>Grand Cherokee</t>
        </is>
      </c>
      <c r="D593" s="199" t="inlineStr">
        <is>
          <t>Grand Cherokee Limited (O)</t>
        </is>
      </c>
      <c r="E593" s="200" t="inlineStr">
        <is>
          <t>Velvet Red</t>
        </is>
      </c>
    </row>
    <row r="594" ht="15" customHeight="1">
      <c r="A594" s="196" t="n">
        <v>590</v>
      </c>
      <c r="B594" s="197" t="inlineStr">
        <is>
          <t>Jeep</t>
        </is>
      </c>
      <c r="C594" s="198" t="inlineStr">
        <is>
          <t>Grand Cherokee</t>
        </is>
      </c>
      <c r="D594" s="199" t="inlineStr">
        <is>
          <t>Grand Cherokee Signature Edition</t>
        </is>
      </c>
      <c r="E594" s="200" t="inlineStr">
        <is>
          <t>Bright White</t>
        </is>
      </c>
    </row>
    <row r="595" ht="15" customHeight="1">
      <c r="A595" s="196" t="n">
        <v>591</v>
      </c>
      <c r="B595" s="197" t="inlineStr">
        <is>
          <t>Jeep</t>
        </is>
      </c>
      <c r="C595" s="198" t="inlineStr">
        <is>
          <t>Grand Cherokee</t>
        </is>
      </c>
      <c r="D595" s="199" t="inlineStr">
        <is>
          <t>Grand Cherokee Signature Edition</t>
        </is>
      </c>
      <c r="E595" s="200" t="inlineStr">
        <is>
          <t>Diamond Black Crystal</t>
        </is>
      </c>
    </row>
    <row r="596" ht="15" customHeight="1">
      <c r="A596" s="196" t="n">
        <v>592</v>
      </c>
      <c r="B596" s="197" t="inlineStr">
        <is>
          <t>Jeep</t>
        </is>
      </c>
      <c r="C596" s="198" t="inlineStr">
        <is>
          <t>Grand Cherokee</t>
        </is>
      </c>
      <c r="D596" s="199" t="inlineStr">
        <is>
          <t>Grand Cherokee Signature Edition</t>
        </is>
      </c>
      <c r="E596" s="200" t="inlineStr">
        <is>
          <t>Rocky Mountain</t>
        </is>
      </c>
    </row>
    <row r="597" ht="15" customHeight="1">
      <c r="A597" s="196" t="n">
        <v>593</v>
      </c>
      <c r="B597" s="197" t="inlineStr">
        <is>
          <t>Jeep</t>
        </is>
      </c>
      <c r="C597" s="198" t="inlineStr">
        <is>
          <t>Grand Cherokee</t>
        </is>
      </c>
      <c r="D597" s="199" t="inlineStr">
        <is>
          <t>Grand Cherokee Signature Edition</t>
        </is>
      </c>
      <c r="E597" s="200" t="inlineStr">
        <is>
          <t>Velvet Red</t>
        </is>
      </c>
    </row>
    <row r="598" ht="15" customHeight="1">
      <c r="A598" s="196" t="n">
        <v>594</v>
      </c>
      <c r="B598" s="197" t="inlineStr">
        <is>
          <t>Jeep</t>
        </is>
      </c>
      <c r="C598" s="198" t="inlineStr">
        <is>
          <t>Meridian</t>
        </is>
      </c>
      <c r="D598" s="199" t="inlineStr">
        <is>
          <t>Meridian Limited (O)</t>
        </is>
      </c>
      <c r="E598" s="200" t="inlineStr">
        <is>
          <t>Brilliant Black</t>
        </is>
      </c>
    </row>
    <row r="599" ht="15" customHeight="1">
      <c r="A599" s="196" t="n">
        <v>595</v>
      </c>
      <c r="B599" s="197" t="inlineStr">
        <is>
          <t>Jeep</t>
        </is>
      </c>
      <c r="C599" s="198" t="inlineStr">
        <is>
          <t>Meridian</t>
        </is>
      </c>
      <c r="D599" s="199" t="inlineStr">
        <is>
          <t>Meridian Limited (O)</t>
        </is>
      </c>
      <c r="E599" s="200" t="inlineStr">
        <is>
          <t>Galaxy Blue</t>
        </is>
      </c>
    </row>
    <row r="600" ht="15" customHeight="1">
      <c r="A600" s="196" t="n">
        <v>596</v>
      </c>
      <c r="B600" s="197" t="inlineStr">
        <is>
          <t>Jeep</t>
        </is>
      </c>
      <c r="C600" s="198" t="inlineStr">
        <is>
          <t>Meridian</t>
        </is>
      </c>
      <c r="D600" s="199" t="inlineStr">
        <is>
          <t>Meridian Limited (O)</t>
        </is>
      </c>
      <c r="E600" s="200" t="inlineStr">
        <is>
          <t>Magnesio Grey</t>
        </is>
      </c>
    </row>
    <row r="601" ht="15" customHeight="1">
      <c r="A601" s="196" t="n">
        <v>597</v>
      </c>
      <c r="B601" s="197" t="inlineStr">
        <is>
          <t>Jeep</t>
        </is>
      </c>
      <c r="C601" s="198" t="inlineStr">
        <is>
          <t>Meridian</t>
        </is>
      </c>
      <c r="D601" s="199" t="inlineStr">
        <is>
          <t>Meridian Limited (O)</t>
        </is>
      </c>
      <c r="E601" s="200" t="inlineStr">
        <is>
          <t>Pearl White</t>
        </is>
      </c>
    </row>
    <row r="602" ht="15" customHeight="1">
      <c r="A602" s="196" t="n">
        <v>598</v>
      </c>
      <c r="B602" s="197" t="inlineStr">
        <is>
          <t>Jeep</t>
        </is>
      </c>
      <c r="C602" s="198" t="inlineStr">
        <is>
          <t>Meridian</t>
        </is>
      </c>
      <c r="D602" s="199" t="inlineStr">
        <is>
          <t>Meridian Limited (O)</t>
        </is>
      </c>
      <c r="E602" s="200" t="inlineStr">
        <is>
          <t>Silvery Moon</t>
        </is>
      </c>
    </row>
    <row r="603" ht="15" customHeight="1">
      <c r="A603" s="196" t="n">
        <v>599</v>
      </c>
      <c r="B603" s="197" t="inlineStr">
        <is>
          <t>Jeep</t>
        </is>
      </c>
      <c r="C603" s="198" t="inlineStr">
        <is>
          <t>Meridian</t>
        </is>
      </c>
      <c r="D603" s="199" t="inlineStr">
        <is>
          <t>Meridian Limited (O)</t>
        </is>
      </c>
      <c r="E603" s="200" t="inlineStr">
        <is>
          <t>Techno Metallic Green</t>
        </is>
      </c>
    </row>
    <row r="604" ht="15" customHeight="1">
      <c r="A604" s="196" t="n">
        <v>600</v>
      </c>
      <c r="B604" s="197" t="inlineStr">
        <is>
          <t>Jeep</t>
        </is>
      </c>
      <c r="C604" s="198" t="inlineStr">
        <is>
          <t>Meridian</t>
        </is>
      </c>
      <c r="D604" s="199" t="inlineStr">
        <is>
          <t>Meridian Limited (O)</t>
        </is>
      </c>
      <c r="E604" s="200" t="inlineStr">
        <is>
          <t>Velvet Red</t>
        </is>
      </c>
    </row>
    <row r="605" ht="15" customHeight="1">
      <c r="A605" s="196" t="n">
        <v>601</v>
      </c>
      <c r="B605" s="197" t="inlineStr">
        <is>
          <t>Jeep</t>
        </is>
      </c>
      <c r="C605" s="198" t="inlineStr">
        <is>
          <t>Meridian</t>
        </is>
      </c>
      <c r="D605" s="199" t="inlineStr">
        <is>
          <t>Meridian Longitude</t>
        </is>
      </c>
      <c r="E605" s="200" t="inlineStr">
        <is>
          <t>Brilliant Black</t>
        </is>
      </c>
    </row>
    <row r="606" ht="15" customHeight="1">
      <c r="A606" s="196" t="n">
        <v>602</v>
      </c>
      <c r="B606" s="197" t="inlineStr">
        <is>
          <t>Jeep</t>
        </is>
      </c>
      <c r="C606" s="198" t="inlineStr">
        <is>
          <t>Meridian</t>
        </is>
      </c>
      <c r="D606" s="199" t="inlineStr">
        <is>
          <t>Meridian Longitude</t>
        </is>
      </c>
      <c r="E606" s="200" t="inlineStr">
        <is>
          <t>Galaxy Blue</t>
        </is>
      </c>
    </row>
    <row r="607" ht="15" customHeight="1">
      <c r="A607" s="196" t="n">
        <v>603</v>
      </c>
      <c r="B607" s="197" t="inlineStr">
        <is>
          <t>Jeep</t>
        </is>
      </c>
      <c r="C607" s="198" t="inlineStr">
        <is>
          <t>Meridian</t>
        </is>
      </c>
      <c r="D607" s="199" t="inlineStr">
        <is>
          <t>Meridian Longitude</t>
        </is>
      </c>
      <c r="E607" s="200" t="inlineStr">
        <is>
          <t>Magnesio Grey</t>
        </is>
      </c>
    </row>
    <row r="608" ht="15" customHeight="1">
      <c r="A608" s="196" t="n">
        <v>604</v>
      </c>
      <c r="B608" s="197" t="inlineStr">
        <is>
          <t>Jeep</t>
        </is>
      </c>
      <c r="C608" s="198" t="inlineStr">
        <is>
          <t>Meridian</t>
        </is>
      </c>
      <c r="D608" s="199" t="inlineStr">
        <is>
          <t>Meridian Longitude</t>
        </is>
      </c>
      <c r="E608" s="200" t="inlineStr">
        <is>
          <t>Minimal Grey</t>
        </is>
      </c>
    </row>
    <row r="609" ht="15" customHeight="1">
      <c r="A609" s="196" t="n">
        <v>605</v>
      </c>
      <c r="B609" s="197" t="inlineStr">
        <is>
          <t>Jeep</t>
        </is>
      </c>
      <c r="C609" s="198" t="inlineStr">
        <is>
          <t>Meridian</t>
        </is>
      </c>
      <c r="D609" s="199" t="inlineStr">
        <is>
          <t>Meridian Longitude</t>
        </is>
      </c>
      <c r="E609" s="200" t="inlineStr">
        <is>
          <t>Pearl White</t>
        </is>
      </c>
    </row>
    <row r="610" ht="15" customHeight="1">
      <c r="A610" s="196" t="n">
        <v>606</v>
      </c>
      <c r="B610" s="197" t="inlineStr">
        <is>
          <t>Jeep</t>
        </is>
      </c>
      <c r="C610" s="198" t="inlineStr">
        <is>
          <t>Meridian</t>
        </is>
      </c>
      <c r="D610" s="199" t="inlineStr">
        <is>
          <t>Meridian Longitude</t>
        </is>
      </c>
      <c r="E610" s="200" t="inlineStr">
        <is>
          <t>Silvery Moon</t>
        </is>
      </c>
    </row>
    <row r="611" ht="15" customHeight="1">
      <c r="A611" s="196" t="n">
        <v>607</v>
      </c>
      <c r="B611" s="197" t="inlineStr">
        <is>
          <t>Jeep</t>
        </is>
      </c>
      <c r="C611" s="198" t="inlineStr">
        <is>
          <t>Meridian</t>
        </is>
      </c>
      <c r="D611" s="199" t="inlineStr">
        <is>
          <t>Meridian Longitude</t>
        </is>
      </c>
      <c r="E611" s="200" t="inlineStr">
        <is>
          <t>Techno Metallic Green</t>
        </is>
      </c>
    </row>
    <row r="612" ht="15" customHeight="1">
      <c r="A612" s="196" t="n">
        <v>608</v>
      </c>
      <c r="B612" s="197" t="inlineStr">
        <is>
          <t>Jeep</t>
        </is>
      </c>
      <c r="C612" s="198" t="inlineStr">
        <is>
          <t>Meridian</t>
        </is>
      </c>
      <c r="D612" s="199" t="inlineStr">
        <is>
          <t>Meridian Longitude</t>
        </is>
      </c>
      <c r="E612" s="200" t="inlineStr">
        <is>
          <t>Velvet Red</t>
        </is>
      </c>
    </row>
    <row r="613" ht="15" customHeight="1">
      <c r="A613" s="196" t="n">
        <v>609</v>
      </c>
      <c r="B613" s="197" t="inlineStr">
        <is>
          <t>Jeep</t>
        </is>
      </c>
      <c r="C613" s="198" t="inlineStr">
        <is>
          <t>Meridian</t>
        </is>
      </c>
      <c r="D613" s="199" t="inlineStr">
        <is>
          <t>Meridian Longitude Plus</t>
        </is>
      </c>
      <c r="E613" s="200" t="inlineStr">
        <is>
          <t>Brilliant Black</t>
        </is>
      </c>
    </row>
    <row r="614" ht="15" customHeight="1">
      <c r="A614" s="196" t="n">
        <v>610</v>
      </c>
      <c r="B614" s="197" t="inlineStr">
        <is>
          <t>Jeep</t>
        </is>
      </c>
      <c r="C614" s="198" t="inlineStr">
        <is>
          <t>Meridian</t>
        </is>
      </c>
      <c r="D614" s="199" t="inlineStr">
        <is>
          <t>Meridian Longitude Plus</t>
        </is>
      </c>
      <c r="E614" s="200" t="inlineStr">
        <is>
          <t>Galaxy Blue</t>
        </is>
      </c>
    </row>
    <row r="615" ht="15" customHeight="1">
      <c r="A615" s="196" t="n">
        <v>611</v>
      </c>
      <c r="B615" s="197" t="inlineStr">
        <is>
          <t>Jeep</t>
        </is>
      </c>
      <c r="C615" s="198" t="inlineStr">
        <is>
          <t>Meridian</t>
        </is>
      </c>
      <c r="D615" s="199" t="inlineStr">
        <is>
          <t>Meridian Longitude Plus</t>
        </is>
      </c>
      <c r="E615" s="200" t="inlineStr">
        <is>
          <t>Magnesio Grey</t>
        </is>
      </c>
    </row>
    <row r="616" ht="15" customHeight="1">
      <c r="A616" s="196" t="n">
        <v>612</v>
      </c>
      <c r="B616" s="197" t="inlineStr">
        <is>
          <t>Jeep</t>
        </is>
      </c>
      <c r="C616" s="198" t="inlineStr">
        <is>
          <t>Meridian</t>
        </is>
      </c>
      <c r="D616" s="199" t="inlineStr">
        <is>
          <t>Meridian Longitude Plus</t>
        </is>
      </c>
      <c r="E616" s="200" t="inlineStr">
        <is>
          <t>Pearl White</t>
        </is>
      </c>
    </row>
    <row r="617" ht="15" customHeight="1">
      <c r="A617" s="196" t="n">
        <v>613</v>
      </c>
      <c r="B617" s="197" t="inlineStr">
        <is>
          <t>Jeep</t>
        </is>
      </c>
      <c r="C617" s="198" t="inlineStr">
        <is>
          <t>Meridian</t>
        </is>
      </c>
      <c r="D617" s="199" t="inlineStr">
        <is>
          <t>Meridian Longitude Plus</t>
        </is>
      </c>
      <c r="E617" s="200" t="inlineStr">
        <is>
          <t>Silvery Moon</t>
        </is>
      </c>
    </row>
    <row r="618" ht="15" customHeight="1">
      <c r="A618" s="196" t="n">
        <v>614</v>
      </c>
      <c r="B618" s="197" t="inlineStr">
        <is>
          <t>Jeep</t>
        </is>
      </c>
      <c r="C618" s="198" t="inlineStr">
        <is>
          <t>Meridian</t>
        </is>
      </c>
      <c r="D618" s="199" t="inlineStr">
        <is>
          <t>Meridian Longitude Plus</t>
        </is>
      </c>
      <c r="E618" s="200" t="inlineStr">
        <is>
          <t>Techno Metallic Green</t>
        </is>
      </c>
    </row>
    <row r="619" ht="15" customHeight="1">
      <c r="A619" s="196" t="n">
        <v>615</v>
      </c>
      <c r="B619" s="197" t="inlineStr">
        <is>
          <t>Jeep</t>
        </is>
      </c>
      <c r="C619" s="198" t="inlineStr">
        <is>
          <t>Meridian</t>
        </is>
      </c>
      <c r="D619" s="199" t="inlineStr">
        <is>
          <t>Meridian Longitude Plus</t>
        </is>
      </c>
      <c r="E619" s="200" t="inlineStr">
        <is>
          <t>Velvet Red</t>
        </is>
      </c>
    </row>
    <row r="620" ht="15" customHeight="1">
      <c r="A620" s="196" t="n">
        <v>616</v>
      </c>
      <c r="B620" s="197" t="inlineStr">
        <is>
          <t>Jeep</t>
        </is>
      </c>
      <c r="C620" s="198" t="inlineStr">
        <is>
          <t>Meridian</t>
        </is>
      </c>
      <c r="D620" s="199" t="inlineStr">
        <is>
          <t>Meridian Overland</t>
        </is>
      </c>
      <c r="E620" s="200" t="inlineStr">
        <is>
          <t>Brilliant Black</t>
        </is>
      </c>
    </row>
    <row r="621" ht="15" customHeight="1">
      <c r="A621" s="196" t="n">
        <v>617</v>
      </c>
      <c r="B621" s="197" t="inlineStr">
        <is>
          <t>Jeep</t>
        </is>
      </c>
      <c r="C621" s="198" t="inlineStr">
        <is>
          <t>Meridian</t>
        </is>
      </c>
      <c r="D621" s="199" t="inlineStr">
        <is>
          <t>Meridian Overland</t>
        </is>
      </c>
      <c r="E621" s="200" t="inlineStr">
        <is>
          <t>Galaxy Blue</t>
        </is>
      </c>
    </row>
    <row r="622" ht="15" customHeight="1">
      <c r="A622" s="196" t="n">
        <v>618</v>
      </c>
      <c r="B622" s="197" t="inlineStr">
        <is>
          <t>Jeep</t>
        </is>
      </c>
      <c r="C622" s="198" t="inlineStr">
        <is>
          <t>Meridian</t>
        </is>
      </c>
      <c r="D622" s="199" t="inlineStr">
        <is>
          <t>Meridian Overland</t>
        </is>
      </c>
      <c r="E622" s="200" t="inlineStr">
        <is>
          <t>Magnesio Grey</t>
        </is>
      </c>
    </row>
    <row r="623" ht="15" customHeight="1">
      <c r="A623" s="196" t="n">
        <v>619</v>
      </c>
      <c r="B623" s="197" t="inlineStr">
        <is>
          <t>Jeep</t>
        </is>
      </c>
      <c r="C623" s="198" t="inlineStr">
        <is>
          <t>Meridian</t>
        </is>
      </c>
      <c r="D623" s="199" t="inlineStr">
        <is>
          <t>Meridian Overland</t>
        </is>
      </c>
      <c r="E623" s="200" t="inlineStr">
        <is>
          <t>Pearl White</t>
        </is>
      </c>
    </row>
    <row r="624" ht="15" customHeight="1">
      <c r="A624" s="196" t="n">
        <v>620</v>
      </c>
      <c r="B624" s="197" t="inlineStr">
        <is>
          <t>Jeep</t>
        </is>
      </c>
      <c r="C624" s="198" t="inlineStr">
        <is>
          <t>Meridian</t>
        </is>
      </c>
      <c r="D624" s="199" t="inlineStr">
        <is>
          <t>Meridian Overland</t>
        </is>
      </c>
      <c r="E624" s="200" t="inlineStr">
        <is>
          <t>Silvery Moon</t>
        </is>
      </c>
    </row>
    <row r="625" ht="15" customHeight="1">
      <c r="A625" s="196" t="n">
        <v>621</v>
      </c>
      <c r="B625" s="197" t="inlineStr">
        <is>
          <t>Jeep</t>
        </is>
      </c>
      <c r="C625" s="198" t="inlineStr">
        <is>
          <t>Meridian</t>
        </is>
      </c>
      <c r="D625" s="199" t="inlineStr">
        <is>
          <t>Meridian Overland</t>
        </is>
      </c>
      <c r="E625" s="200" t="inlineStr">
        <is>
          <t>Techno Metallic Green</t>
        </is>
      </c>
    </row>
    <row r="626" ht="15" customHeight="1">
      <c r="A626" s="196" t="n">
        <v>622</v>
      </c>
      <c r="B626" s="197" t="inlineStr">
        <is>
          <t>Jeep</t>
        </is>
      </c>
      <c r="C626" s="198" t="inlineStr">
        <is>
          <t>Meridian</t>
        </is>
      </c>
      <c r="D626" s="199" t="inlineStr">
        <is>
          <t>Meridian Overland</t>
        </is>
      </c>
      <c r="E626" s="200" t="inlineStr">
        <is>
          <t>Velvet Red</t>
        </is>
      </c>
    </row>
    <row r="627" ht="15" customHeight="1">
      <c r="A627" s="196" t="n">
        <v>623</v>
      </c>
      <c r="B627" s="197" t="inlineStr">
        <is>
          <t>Jeep</t>
        </is>
      </c>
      <c r="C627" s="198" t="inlineStr">
        <is>
          <t>Meridian</t>
        </is>
      </c>
      <c r="D627" s="199" t="inlineStr">
        <is>
          <t>Meridian Track Edition</t>
        </is>
      </c>
      <c r="E627" s="200" t="inlineStr">
        <is>
          <t>Magnesio Grey</t>
        </is>
      </c>
    </row>
    <row r="628" ht="15" customHeight="1">
      <c r="A628" s="196" t="n">
        <v>624</v>
      </c>
      <c r="B628" s="197" t="inlineStr">
        <is>
          <t>Jeep</t>
        </is>
      </c>
      <c r="C628" s="198" t="inlineStr">
        <is>
          <t>Meridian</t>
        </is>
      </c>
      <c r="D628" s="199" t="inlineStr">
        <is>
          <t>Meridian Track Edition</t>
        </is>
      </c>
      <c r="E628" s="200" t="inlineStr">
        <is>
          <t>Pearl White</t>
        </is>
      </c>
    </row>
    <row r="629" ht="15" customHeight="1">
      <c r="A629" s="196" t="n">
        <v>625</v>
      </c>
      <c r="B629" s="197" t="inlineStr">
        <is>
          <t>Jeep</t>
        </is>
      </c>
      <c r="C629" s="198" t="inlineStr">
        <is>
          <t>Meridian</t>
        </is>
      </c>
      <c r="D629" s="199" t="inlineStr">
        <is>
          <t>Meridian Track Edition</t>
        </is>
      </c>
      <c r="E629" s="200" t="inlineStr">
        <is>
          <t>Techno Metallic Green</t>
        </is>
      </c>
    </row>
    <row r="630" ht="15" customHeight="1">
      <c r="A630" s="196" t="n">
        <v>626</v>
      </c>
      <c r="B630" s="197" t="inlineStr">
        <is>
          <t>Jeep</t>
        </is>
      </c>
      <c r="C630" s="198" t="inlineStr">
        <is>
          <t>Meridian</t>
        </is>
      </c>
      <c r="D630" s="199" t="inlineStr">
        <is>
          <t>Meridian Track Edition</t>
        </is>
      </c>
      <c r="E630" s="200" t="inlineStr">
        <is>
          <t>Velvet Red</t>
        </is>
      </c>
    </row>
    <row r="631" ht="15" customHeight="1">
      <c r="A631" s="196" t="n">
        <v>627</v>
      </c>
      <c r="B631" s="197" t="inlineStr">
        <is>
          <t>Jeep</t>
        </is>
      </c>
      <c r="C631" s="198" t="inlineStr">
        <is>
          <t>Meridian</t>
        </is>
      </c>
      <c r="D631" s="199" t="inlineStr">
        <is>
          <t>Meridian Trail Edition</t>
        </is>
      </c>
      <c r="E631" s="200" t="inlineStr">
        <is>
          <t>Brilliant Black</t>
        </is>
      </c>
    </row>
    <row r="632" ht="15" customHeight="1">
      <c r="A632" s="196" t="n">
        <v>628</v>
      </c>
      <c r="B632" s="197" t="inlineStr">
        <is>
          <t>Jeep</t>
        </is>
      </c>
      <c r="C632" s="198" t="inlineStr">
        <is>
          <t>Meridian</t>
        </is>
      </c>
      <c r="D632" s="199" t="inlineStr">
        <is>
          <t>Meridian Trail Edition</t>
        </is>
      </c>
      <c r="E632" s="200" t="inlineStr">
        <is>
          <t>Magnesio Grey</t>
        </is>
      </c>
    </row>
    <row r="633" ht="15" customHeight="1">
      <c r="A633" s="196" t="n">
        <v>629</v>
      </c>
      <c r="B633" s="197" t="inlineStr">
        <is>
          <t>Jeep</t>
        </is>
      </c>
      <c r="C633" s="198" t="inlineStr">
        <is>
          <t>Meridian</t>
        </is>
      </c>
      <c r="D633" s="199" t="inlineStr">
        <is>
          <t>Meridian Trail Edition</t>
        </is>
      </c>
      <c r="E633" s="200" t="inlineStr">
        <is>
          <t>Pearl White</t>
        </is>
      </c>
    </row>
    <row r="634" ht="15" customHeight="1">
      <c r="A634" s="196" t="n">
        <v>630</v>
      </c>
      <c r="B634" s="197" t="inlineStr">
        <is>
          <t>Jeep</t>
        </is>
      </c>
      <c r="C634" s="198" t="inlineStr">
        <is>
          <t>Meridian</t>
        </is>
      </c>
      <c r="D634" s="199" t="inlineStr">
        <is>
          <t>Meridian Trail Edition</t>
        </is>
      </c>
      <c r="E634" s="200" t="inlineStr">
        <is>
          <t>Techno Metallic Green</t>
        </is>
      </c>
    </row>
    <row r="635" ht="15" customHeight="1">
      <c r="A635" s="196" t="n">
        <v>631</v>
      </c>
      <c r="B635" s="197" t="inlineStr">
        <is>
          <t>Jeep</t>
        </is>
      </c>
      <c r="C635" s="198" t="inlineStr">
        <is>
          <t>Wrangler</t>
        </is>
      </c>
      <c r="D635" s="199" t="inlineStr">
        <is>
          <t>Wrangler Rubicon</t>
        </is>
      </c>
      <c r="E635" s="200" t="inlineStr">
        <is>
          <t>Anvil Clear Coat</t>
        </is>
      </c>
    </row>
    <row r="636" ht="15" customHeight="1">
      <c r="A636" s="196" t="n">
        <v>632</v>
      </c>
      <c r="B636" s="197" t="inlineStr">
        <is>
          <t>Jeep</t>
        </is>
      </c>
      <c r="C636" s="198" t="inlineStr">
        <is>
          <t>Wrangler</t>
        </is>
      </c>
      <c r="D636" s="199" t="inlineStr">
        <is>
          <t>Wrangler Rubicon</t>
        </is>
      </c>
      <c r="E636" s="200" t="inlineStr">
        <is>
          <t>Black</t>
        </is>
      </c>
    </row>
    <row r="637" ht="15" customHeight="1">
      <c r="A637" s="196" t="n">
        <v>633</v>
      </c>
      <c r="B637" s="197" t="inlineStr">
        <is>
          <t>Jeep</t>
        </is>
      </c>
      <c r="C637" s="198" t="inlineStr">
        <is>
          <t>Wrangler</t>
        </is>
      </c>
      <c r="D637" s="199" t="inlineStr">
        <is>
          <t>Wrangler Rubicon</t>
        </is>
      </c>
      <c r="E637" s="200" t="inlineStr">
        <is>
          <t>Bright White</t>
        </is>
      </c>
    </row>
    <row r="638" ht="15" customHeight="1">
      <c r="A638" s="196" t="n">
        <v>634</v>
      </c>
      <c r="B638" s="197" t="inlineStr">
        <is>
          <t>Jeep</t>
        </is>
      </c>
      <c r="C638" s="198" t="inlineStr">
        <is>
          <t>Wrangler</t>
        </is>
      </c>
      <c r="D638" s="199" t="inlineStr">
        <is>
          <t>Wrangler Rubicon</t>
        </is>
      </c>
      <c r="E638" s="200" t="inlineStr">
        <is>
          <t>Firecracker Red</t>
        </is>
      </c>
    </row>
    <row r="639" ht="15" customHeight="1">
      <c r="A639" s="196" t="n">
        <v>635</v>
      </c>
      <c r="B639" s="197" t="inlineStr">
        <is>
          <t>Jeep</t>
        </is>
      </c>
      <c r="C639" s="198" t="inlineStr">
        <is>
          <t>Wrangler</t>
        </is>
      </c>
      <c r="D639" s="199" t="inlineStr">
        <is>
          <t>Wrangler Rubicon</t>
        </is>
      </c>
      <c r="E639" s="200" t="inlineStr">
        <is>
          <t>Sarge Green</t>
        </is>
      </c>
    </row>
    <row r="640" ht="15" customHeight="1">
      <c r="A640" s="196" t="n">
        <v>636</v>
      </c>
      <c r="B640" s="197" t="inlineStr">
        <is>
          <t>Jeep</t>
        </is>
      </c>
      <c r="C640" s="198" t="inlineStr">
        <is>
          <t>Wrangler</t>
        </is>
      </c>
      <c r="D640" s="199" t="inlineStr">
        <is>
          <t>Wrangler Unlimited</t>
        </is>
      </c>
      <c r="E640" s="200" t="inlineStr">
        <is>
          <t>Anvil Clear Coat</t>
        </is>
      </c>
    </row>
    <row r="641" ht="15" customHeight="1">
      <c r="A641" s="196" t="n">
        <v>637</v>
      </c>
      <c r="B641" s="197" t="inlineStr">
        <is>
          <t>Jeep</t>
        </is>
      </c>
      <c r="C641" s="198" t="inlineStr">
        <is>
          <t>Wrangler</t>
        </is>
      </c>
      <c r="D641" s="199" t="inlineStr">
        <is>
          <t>Wrangler Unlimited</t>
        </is>
      </c>
      <c r="E641" s="200" t="inlineStr">
        <is>
          <t>Black</t>
        </is>
      </c>
    </row>
    <row r="642" ht="15" customHeight="1">
      <c r="A642" s="196" t="n">
        <v>638</v>
      </c>
      <c r="B642" s="197" t="inlineStr">
        <is>
          <t>Jeep</t>
        </is>
      </c>
      <c r="C642" s="198" t="inlineStr">
        <is>
          <t>Wrangler</t>
        </is>
      </c>
      <c r="D642" s="199" t="inlineStr">
        <is>
          <t>Wrangler Unlimited</t>
        </is>
      </c>
      <c r="E642" s="200" t="inlineStr">
        <is>
          <t>Bright White</t>
        </is>
      </c>
    </row>
    <row r="643" ht="15" customHeight="1">
      <c r="A643" s="196" t="n">
        <v>639</v>
      </c>
      <c r="B643" s="197" t="inlineStr">
        <is>
          <t>Jeep</t>
        </is>
      </c>
      <c r="C643" s="198" t="inlineStr">
        <is>
          <t>Wrangler</t>
        </is>
      </c>
      <c r="D643" s="199" t="inlineStr">
        <is>
          <t>Wrangler Unlimited</t>
        </is>
      </c>
      <c r="E643" s="200" t="inlineStr">
        <is>
          <t>Firecracker Red</t>
        </is>
      </c>
    </row>
    <row r="644" ht="15" customHeight="1">
      <c r="A644" s="196" t="n">
        <v>640</v>
      </c>
      <c r="B644" s="197" t="inlineStr">
        <is>
          <t>Jeep</t>
        </is>
      </c>
      <c r="C644" s="198" t="inlineStr">
        <is>
          <t>Wrangler</t>
        </is>
      </c>
      <c r="D644" s="199" t="inlineStr">
        <is>
          <t>Wrangler Willys 41 Special Edition</t>
        </is>
      </c>
      <c r="E644" s="200" t="inlineStr">
        <is>
          <t>Anvil Clear Coat</t>
        </is>
      </c>
    </row>
    <row r="645" ht="15" customHeight="1">
      <c r="A645" s="196" t="n">
        <v>641</v>
      </c>
      <c r="B645" s="197" t="inlineStr">
        <is>
          <t>Jeep</t>
        </is>
      </c>
      <c r="C645" s="198" t="inlineStr">
        <is>
          <t>Wrangler</t>
        </is>
      </c>
      <c r="D645" s="199" t="inlineStr">
        <is>
          <t>Wrangler Willys 41 Special Edition</t>
        </is>
      </c>
      <c r="E645" s="200" t="inlineStr">
        <is>
          <t>Billet</t>
        </is>
      </c>
    </row>
    <row r="646" ht="15" customHeight="1">
      <c r="A646" s="196" t="n">
        <v>642</v>
      </c>
      <c r="B646" s="197" t="inlineStr">
        <is>
          <t>Jeep</t>
        </is>
      </c>
      <c r="C646" s="198" t="inlineStr">
        <is>
          <t>Wrangler</t>
        </is>
      </c>
      <c r="D646" s="199" t="inlineStr">
        <is>
          <t>Wrangler Willys 41 Special Edition</t>
        </is>
      </c>
      <c r="E646" s="200" t="inlineStr">
        <is>
          <t>Black</t>
        </is>
      </c>
    </row>
    <row r="647" ht="15" customHeight="1">
      <c r="A647" s="196" t="n">
        <v>643</v>
      </c>
      <c r="B647" s="197" t="inlineStr">
        <is>
          <t>Jeep</t>
        </is>
      </c>
      <c r="C647" s="198" t="inlineStr">
        <is>
          <t>Wrangler</t>
        </is>
      </c>
      <c r="D647" s="199" t="inlineStr">
        <is>
          <t>Wrangler Willys 41 Special Edition</t>
        </is>
      </c>
      <c r="E647" s="200" t="inlineStr">
        <is>
          <t>Bright White</t>
        </is>
      </c>
    </row>
    <row r="648" ht="15" customHeight="1">
      <c r="A648" s="196" t="n">
        <v>644</v>
      </c>
      <c r="B648" s="197" t="inlineStr">
        <is>
          <t>Jeep</t>
        </is>
      </c>
      <c r="C648" s="198" t="inlineStr">
        <is>
          <t>Wrangler</t>
        </is>
      </c>
      <c r="D648" s="199" t="inlineStr">
        <is>
          <t>Wrangler Willys 41 Special Edition</t>
        </is>
      </c>
      <c r="E648" s="200" t="inlineStr">
        <is>
          <t>Firecracker Red</t>
        </is>
      </c>
    </row>
    <row r="649" ht="15" customHeight="1">
      <c r="A649" s="196" t="n">
        <v>645</v>
      </c>
      <c r="B649" s="197" t="inlineStr">
        <is>
          <t>Jeep</t>
        </is>
      </c>
      <c r="C649" s="198" t="inlineStr">
        <is>
          <t>Wrangler</t>
        </is>
      </c>
      <c r="D649" s="199" t="inlineStr">
        <is>
          <t>Wrangler Willys 41 Special Edition</t>
        </is>
      </c>
      <c r="E649" s="200" t="inlineStr">
        <is>
          <t>Sarge Green</t>
        </is>
      </c>
    </row>
    <row r="650" ht="15" customHeight="1">
      <c r="A650" s="211" t="n">
        <v>646</v>
      </c>
      <c r="B650" s="212" t="inlineStr">
        <is>
          <t>Kia</t>
        </is>
      </c>
      <c r="C650" s="213" t="inlineStr">
        <is>
          <t>Carens</t>
        </is>
      </c>
      <c r="D650" s="214" t="inlineStr">
        <is>
          <t>Carens Premium (O)</t>
        </is>
      </c>
      <c r="E650" s="215" t="inlineStr">
        <is>
          <t>Aurora Black Pearl</t>
        </is>
      </c>
    </row>
    <row r="651" ht="15" customHeight="1">
      <c r="A651" s="211" t="n">
        <v>647</v>
      </c>
      <c r="B651" s="212" t="inlineStr">
        <is>
          <t>Kia</t>
        </is>
      </c>
      <c r="C651" s="213" t="inlineStr">
        <is>
          <t>Carens</t>
        </is>
      </c>
      <c r="D651" s="214" t="inlineStr">
        <is>
          <t>Carens Premium (O)</t>
        </is>
      </c>
      <c r="E651" s="215" t="inlineStr">
        <is>
          <t>Clear White</t>
        </is>
      </c>
    </row>
    <row r="652" ht="15" customHeight="1">
      <c r="A652" s="211" t="n">
        <v>648</v>
      </c>
      <c r="B652" s="212" t="inlineStr">
        <is>
          <t>Kia</t>
        </is>
      </c>
      <c r="C652" s="213" t="inlineStr">
        <is>
          <t>Carens</t>
        </is>
      </c>
      <c r="D652" s="214" t="inlineStr">
        <is>
          <t>Carens Premium (O)</t>
        </is>
      </c>
      <c r="E652" s="215" t="inlineStr">
        <is>
          <t>Gravity Grey</t>
        </is>
      </c>
    </row>
    <row r="653" ht="15" customHeight="1">
      <c r="A653" s="211" t="n">
        <v>649</v>
      </c>
      <c r="B653" s="212" t="inlineStr">
        <is>
          <t>Kia</t>
        </is>
      </c>
      <c r="C653" s="213" t="inlineStr">
        <is>
          <t>Carens</t>
        </is>
      </c>
      <c r="D653" s="214" t="inlineStr">
        <is>
          <t>Carens Premium (O)</t>
        </is>
      </c>
      <c r="E653" s="215" t="inlineStr">
        <is>
          <t>Imperial Blue</t>
        </is>
      </c>
    </row>
    <row r="654" ht="15" customHeight="1">
      <c r="A654" s="211" t="n">
        <v>650</v>
      </c>
      <c r="B654" s="212" t="inlineStr">
        <is>
          <t>Kia</t>
        </is>
      </c>
      <c r="C654" s="213" t="inlineStr">
        <is>
          <t>Carens</t>
        </is>
      </c>
      <c r="D654" s="214" t="inlineStr">
        <is>
          <t>Carens Premium (O)</t>
        </is>
      </c>
      <c r="E654" s="215" t="inlineStr">
        <is>
          <t>Pewter Olive</t>
        </is>
      </c>
    </row>
    <row r="655" ht="15" customHeight="1">
      <c r="A655" s="211" t="n">
        <v>651</v>
      </c>
      <c r="B655" s="212" t="inlineStr">
        <is>
          <t>Kia</t>
        </is>
      </c>
      <c r="C655" s="213" t="inlineStr">
        <is>
          <t>Carens</t>
        </is>
      </c>
      <c r="D655" s="214" t="inlineStr">
        <is>
          <t>Carens Premium (O)</t>
        </is>
      </c>
      <c r="E655" s="215" t="inlineStr">
        <is>
          <t>Sparkling Silver</t>
        </is>
      </c>
    </row>
    <row r="656" ht="15" customHeight="1">
      <c r="A656" s="211" t="n">
        <v>652</v>
      </c>
      <c r="B656" s="212" t="inlineStr">
        <is>
          <t>Kia</t>
        </is>
      </c>
      <c r="C656" s="213" t="inlineStr">
        <is>
          <t>Carnival</t>
        </is>
      </c>
      <c r="D656" s="214" t="inlineStr">
        <is>
          <t>Carnival Limousine Plus</t>
        </is>
      </c>
      <c r="E656" s="215" t="inlineStr">
        <is>
          <t>Fusion Black</t>
        </is>
      </c>
    </row>
    <row r="657" ht="15" customHeight="1">
      <c r="A657" s="211" t="n">
        <v>653</v>
      </c>
      <c r="B657" s="212" t="inlineStr">
        <is>
          <t>Kia</t>
        </is>
      </c>
      <c r="C657" s="213" t="inlineStr">
        <is>
          <t>Carnival</t>
        </is>
      </c>
      <c r="D657" s="214" t="inlineStr">
        <is>
          <t>Carnival Limousine Plus</t>
        </is>
      </c>
      <c r="E657" s="215" t="inlineStr">
        <is>
          <t>Glacier White Pearl</t>
        </is>
      </c>
    </row>
    <row r="658" ht="15" customHeight="1">
      <c r="A658" s="211" t="n">
        <v>654</v>
      </c>
      <c r="B658" s="212" t="inlineStr">
        <is>
          <t>Kia</t>
        </is>
      </c>
      <c r="C658" s="213" t="inlineStr">
        <is>
          <t>EV6</t>
        </is>
      </c>
      <c r="D658" s="214" t="inlineStr">
        <is>
          <t>EV6 GT Line</t>
        </is>
      </c>
      <c r="E658" s="215" t="inlineStr">
        <is>
          <t>Aurora Black Pearl</t>
        </is>
      </c>
    </row>
    <row r="659" ht="15" customHeight="1">
      <c r="A659" s="211" t="n">
        <v>655</v>
      </c>
      <c r="B659" s="212" t="inlineStr">
        <is>
          <t>Kia</t>
        </is>
      </c>
      <c r="C659" s="213" t="inlineStr">
        <is>
          <t>EV6</t>
        </is>
      </c>
      <c r="D659" s="214" t="inlineStr">
        <is>
          <t>EV6 GT Line</t>
        </is>
      </c>
      <c r="E659" s="215" t="inlineStr">
        <is>
          <t>Runway Red</t>
        </is>
      </c>
    </row>
    <row r="660" ht="15" customHeight="1">
      <c r="A660" s="211" t="n">
        <v>656</v>
      </c>
      <c r="B660" s="212" t="inlineStr">
        <is>
          <t>Kia</t>
        </is>
      </c>
      <c r="C660" s="213" t="inlineStr">
        <is>
          <t>EV6</t>
        </is>
      </c>
      <c r="D660" s="214" t="inlineStr">
        <is>
          <t>EV6 GT Line</t>
        </is>
      </c>
      <c r="E660" s="215" t="inlineStr">
        <is>
          <t>Snow White Pearl</t>
        </is>
      </c>
    </row>
    <row r="661" ht="15" customHeight="1">
      <c r="A661" s="211" t="n">
        <v>657</v>
      </c>
      <c r="B661" s="212" t="inlineStr">
        <is>
          <t>Kia</t>
        </is>
      </c>
      <c r="C661" s="213" t="inlineStr">
        <is>
          <t>EV6</t>
        </is>
      </c>
      <c r="D661" s="214" t="inlineStr">
        <is>
          <t>EV6 GT Line</t>
        </is>
      </c>
      <c r="E661" s="215" t="inlineStr">
        <is>
          <t>Wolf Grey</t>
        </is>
      </c>
    </row>
    <row r="662" ht="15" customHeight="1">
      <c r="A662" s="211" t="n">
        <v>658</v>
      </c>
      <c r="B662" s="212" t="inlineStr">
        <is>
          <t>Kia</t>
        </is>
      </c>
      <c r="C662" s="213" t="inlineStr">
        <is>
          <t>EV6</t>
        </is>
      </c>
      <c r="D662" s="214" t="inlineStr">
        <is>
          <t>EV6 GT Line</t>
        </is>
      </c>
      <c r="E662" s="215" t="inlineStr">
        <is>
          <t>Yatch Blue</t>
        </is>
      </c>
    </row>
    <row r="663" ht="15" customHeight="1">
      <c r="A663" s="211" t="n">
        <v>659</v>
      </c>
      <c r="B663" s="212" t="inlineStr">
        <is>
          <t>Kia</t>
        </is>
      </c>
      <c r="C663" s="213" t="inlineStr">
        <is>
          <t>EV9</t>
        </is>
      </c>
      <c r="D663" s="214" t="inlineStr">
        <is>
          <t>Standard</t>
        </is>
      </c>
      <c r="E663" s="215" t="inlineStr">
        <is>
          <t>Aurora Black Pearl</t>
        </is>
      </c>
    </row>
    <row r="664" ht="15" customHeight="1">
      <c r="A664" s="211" t="n">
        <v>660</v>
      </c>
      <c r="B664" s="212" t="inlineStr">
        <is>
          <t>Kia</t>
        </is>
      </c>
      <c r="C664" s="213" t="inlineStr">
        <is>
          <t>EV9</t>
        </is>
      </c>
      <c r="D664" s="214" t="inlineStr">
        <is>
          <t>Standard</t>
        </is>
      </c>
      <c r="E664" s="215" t="inlineStr">
        <is>
          <t>Ocean Blue</t>
        </is>
      </c>
    </row>
    <row r="665" ht="15" customHeight="1">
      <c r="A665" s="211" t="n">
        <v>661</v>
      </c>
      <c r="B665" s="212" t="inlineStr">
        <is>
          <t>Kia</t>
        </is>
      </c>
      <c r="C665" s="213" t="inlineStr">
        <is>
          <t>EV9</t>
        </is>
      </c>
      <c r="D665" s="214" t="inlineStr">
        <is>
          <t>Standard</t>
        </is>
      </c>
      <c r="E665" s="215" t="inlineStr">
        <is>
          <t>Panthera Metal</t>
        </is>
      </c>
    </row>
    <row r="666" ht="15" customHeight="1">
      <c r="A666" s="211" t="n">
        <v>662</v>
      </c>
      <c r="B666" s="212" t="inlineStr">
        <is>
          <t>Kia</t>
        </is>
      </c>
      <c r="C666" s="213" t="inlineStr">
        <is>
          <t>EV9</t>
        </is>
      </c>
      <c r="D666" s="214" t="inlineStr">
        <is>
          <t>Standard</t>
        </is>
      </c>
      <c r="E666" s="215" t="inlineStr">
        <is>
          <t>Pebble Grey</t>
        </is>
      </c>
    </row>
    <row r="667" ht="15" customHeight="1">
      <c r="A667" s="211" t="n">
        <v>663</v>
      </c>
      <c r="B667" s="212" t="inlineStr">
        <is>
          <t>Kia</t>
        </is>
      </c>
      <c r="C667" s="213" t="inlineStr">
        <is>
          <t>EV9</t>
        </is>
      </c>
      <c r="D667" s="214" t="inlineStr">
        <is>
          <t>Standard</t>
        </is>
      </c>
      <c r="E667" s="215" t="inlineStr">
        <is>
          <t>Snow White Pearl</t>
        </is>
      </c>
    </row>
    <row r="668" ht="15" customHeight="1">
      <c r="A668" s="211" t="n">
        <v>664</v>
      </c>
      <c r="B668" s="212" t="inlineStr">
        <is>
          <t>Kia</t>
        </is>
      </c>
      <c r="C668" s="213" t="inlineStr">
        <is>
          <t>Seltos</t>
        </is>
      </c>
      <c r="D668" s="214" t="inlineStr">
        <is>
          <t>Seltos GTX</t>
        </is>
      </c>
      <c r="E668" s="215" t="inlineStr">
        <is>
          <t>Aurora Black Pearl</t>
        </is>
      </c>
    </row>
    <row r="669" ht="15" customHeight="1">
      <c r="A669" s="211" t="n">
        <v>665</v>
      </c>
      <c r="B669" s="212" t="inlineStr">
        <is>
          <t>Kia</t>
        </is>
      </c>
      <c r="C669" s="213" t="inlineStr">
        <is>
          <t>Seltos</t>
        </is>
      </c>
      <c r="D669" s="214" t="inlineStr">
        <is>
          <t>Seltos GTX</t>
        </is>
      </c>
      <c r="E669" s="215" t="inlineStr">
        <is>
          <t>Frost Blue</t>
        </is>
      </c>
    </row>
    <row r="670" ht="15" customHeight="1">
      <c r="A670" s="211" t="n">
        <v>666</v>
      </c>
      <c r="B670" s="212" t="inlineStr">
        <is>
          <t>Kia</t>
        </is>
      </c>
      <c r="C670" s="213" t="inlineStr">
        <is>
          <t>Seltos</t>
        </is>
      </c>
      <c r="D670" s="214" t="inlineStr">
        <is>
          <t>Seltos GTX</t>
        </is>
      </c>
      <c r="E670" s="215" t="inlineStr">
        <is>
          <t>Glacier White Pearl</t>
        </is>
      </c>
    </row>
    <row r="671" ht="15" customHeight="1">
      <c r="A671" s="211" t="n">
        <v>667</v>
      </c>
      <c r="B671" s="212" t="inlineStr">
        <is>
          <t>Kia</t>
        </is>
      </c>
      <c r="C671" s="213" t="inlineStr">
        <is>
          <t>Seltos</t>
        </is>
      </c>
      <c r="D671" s="214" t="inlineStr">
        <is>
          <t>Seltos GTX</t>
        </is>
      </c>
      <c r="E671" s="215" t="inlineStr">
        <is>
          <t>Gravity Grey</t>
        </is>
      </c>
    </row>
    <row r="672" ht="15" customHeight="1">
      <c r="A672" s="211" t="n">
        <v>668</v>
      </c>
      <c r="B672" s="212" t="inlineStr">
        <is>
          <t>Kia</t>
        </is>
      </c>
      <c r="C672" s="213" t="inlineStr">
        <is>
          <t>Seltos</t>
        </is>
      </c>
      <c r="D672" s="214" t="inlineStr">
        <is>
          <t>Seltos GTX</t>
        </is>
      </c>
      <c r="E672" s="215" t="inlineStr">
        <is>
          <t>Imperial Blue</t>
        </is>
      </c>
    </row>
    <row r="673" ht="15" customHeight="1">
      <c r="A673" s="211" t="n">
        <v>669</v>
      </c>
      <c r="B673" s="212" t="inlineStr">
        <is>
          <t>Kia</t>
        </is>
      </c>
      <c r="C673" s="213" t="inlineStr">
        <is>
          <t>Seltos</t>
        </is>
      </c>
      <c r="D673" s="214" t="inlineStr">
        <is>
          <t>Seltos GTX</t>
        </is>
      </c>
      <c r="E673" s="215" t="inlineStr">
        <is>
          <t>Ivory Silver Gloss</t>
        </is>
      </c>
    </row>
    <row r="674" ht="15" customHeight="1">
      <c r="A674" s="211" t="n">
        <v>670</v>
      </c>
      <c r="B674" s="212" t="inlineStr">
        <is>
          <t>Kia</t>
        </is>
      </c>
      <c r="C674" s="213" t="inlineStr">
        <is>
          <t>Seltos</t>
        </is>
      </c>
      <c r="D674" s="214" t="inlineStr">
        <is>
          <t>Seltos GTX</t>
        </is>
      </c>
      <c r="E674" s="215" t="inlineStr">
        <is>
          <t>Magma Red</t>
        </is>
      </c>
    </row>
    <row r="675" ht="15" customHeight="1">
      <c r="A675" s="211" t="n">
        <v>671</v>
      </c>
      <c r="B675" s="212" t="inlineStr">
        <is>
          <t>Kia</t>
        </is>
      </c>
      <c r="C675" s="213" t="inlineStr">
        <is>
          <t>Seltos</t>
        </is>
      </c>
      <c r="D675" s="214" t="inlineStr">
        <is>
          <t>Seltos GTX</t>
        </is>
      </c>
      <c r="E675" s="215" t="inlineStr">
        <is>
          <t>Morning Haze</t>
        </is>
      </c>
    </row>
    <row r="676" ht="15" customHeight="1">
      <c r="A676" s="211" t="n">
        <v>672</v>
      </c>
      <c r="B676" s="212" t="inlineStr">
        <is>
          <t>Kia</t>
        </is>
      </c>
      <c r="C676" s="213" t="inlineStr">
        <is>
          <t>Seltos</t>
        </is>
      </c>
      <c r="D676" s="214" t="inlineStr">
        <is>
          <t>Seltos GTX</t>
        </is>
      </c>
      <c r="E676" s="215" t="inlineStr">
        <is>
          <t>Pewter Olive</t>
        </is>
      </c>
    </row>
    <row r="677" ht="15" customHeight="1">
      <c r="A677" s="211" t="n">
        <v>673</v>
      </c>
      <c r="B677" s="212" t="inlineStr">
        <is>
          <t>Kia</t>
        </is>
      </c>
      <c r="C677" s="213" t="inlineStr">
        <is>
          <t>Seltos</t>
        </is>
      </c>
      <c r="D677" s="214" t="inlineStr">
        <is>
          <t>Seltos GTX (A)</t>
        </is>
      </c>
      <c r="E677" s="215" t="inlineStr">
        <is>
          <t>Aurora Black Pearl</t>
        </is>
      </c>
    </row>
    <row r="678" ht="15" customHeight="1">
      <c r="A678" s="211" t="n">
        <v>674</v>
      </c>
      <c r="B678" s="212" t="inlineStr">
        <is>
          <t>Kia</t>
        </is>
      </c>
      <c r="C678" s="213" t="inlineStr">
        <is>
          <t>Seltos</t>
        </is>
      </c>
      <c r="D678" s="214" t="inlineStr">
        <is>
          <t>Seltos GTX (A)</t>
        </is>
      </c>
      <c r="E678" s="215" t="inlineStr">
        <is>
          <t>Gravity Grey</t>
        </is>
      </c>
    </row>
    <row r="679" ht="15" customHeight="1">
      <c r="A679" s="211" t="n">
        <v>675</v>
      </c>
      <c r="B679" s="212" t="inlineStr">
        <is>
          <t>Kia</t>
        </is>
      </c>
      <c r="C679" s="213" t="inlineStr">
        <is>
          <t>Seltos</t>
        </is>
      </c>
      <c r="D679" s="214" t="inlineStr">
        <is>
          <t>Seltos GTX (O)</t>
        </is>
      </c>
      <c r="E679" s="215" t="inlineStr">
        <is>
          <t>Aurora Black Pearl</t>
        </is>
      </c>
    </row>
    <row r="680" ht="15" customHeight="1">
      <c r="A680" s="211" t="n">
        <v>676</v>
      </c>
      <c r="B680" s="212" t="inlineStr">
        <is>
          <t>Kia</t>
        </is>
      </c>
      <c r="C680" s="213" t="inlineStr">
        <is>
          <t>Seltos</t>
        </is>
      </c>
      <c r="D680" s="214" t="inlineStr">
        <is>
          <t>Seltos GTX (O)</t>
        </is>
      </c>
      <c r="E680" s="215" t="inlineStr">
        <is>
          <t>Frost Blue</t>
        </is>
      </c>
    </row>
    <row r="681" ht="15" customHeight="1">
      <c r="A681" s="211" t="n">
        <v>677</v>
      </c>
      <c r="B681" s="212" t="inlineStr">
        <is>
          <t>Kia</t>
        </is>
      </c>
      <c r="C681" s="213" t="inlineStr">
        <is>
          <t>Seltos</t>
        </is>
      </c>
      <c r="D681" s="214" t="inlineStr">
        <is>
          <t>Seltos GTX (O)</t>
        </is>
      </c>
      <c r="E681" s="215" t="inlineStr">
        <is>
          <t>Glacier White Pearl</t>
        </is>
      </c>
    </row>
    <row r="682" ht="15" customHeight="1">
      <c r="A682" s="211" t="n">
        <v>678</v>
      </c>
      <c r="B682" s="212" t="inlineStr">
        <is>
          <t>Kia</t>
        </is>
      </c>
      <c r="C682" s="213" t="inlineStr">
        <is>
          <t>Seltos</t>
        </is>
      </c>
      <c r="D682" s="214" t="inlineStr">
        <is>
          <t>Seltos GTX (O)</t>
        </is>
      </c>
      <c r="E682" s="215" t="inlineStr">
        <is>
          <t>Gravity Grey</t>
        </is>
      </c>
    </row>
    <row r="683" ht="15" customHeight="1">
      <c r="A683" s="211" t="n">
        <v>679</v>
      </c>
      <c r="B683" s="212" t="inlineStr">
        <is>
          <t>Kia</t>
        </is>
      </c>
      <c r="C683" s="213" t="inlineStr">
        <is>
          <t>Seltos</t>
        </is>
      </c>
      <c r="D683" s="214" t="inlineStr">
        <is>
          <t>Seltos GTX (O)</t>
        </is>
      </c>
      <c r="E683" s="215" t="inlineStr">
        <is>
          <t>Imperial Blue</t>
        </is>
      </c>
    </row>
    <row r="684" ht="15" customHeight="1">
      <c r="A684" s="211" t="n">
        <v>680</v>
      </c>
      <c r="B684" s="212" t="inlineStr">
        <is>
          <t>Kia</t>
        </is>
      </c>
      <c r="C684" s="213" t="inlineStr">
        <is>
          <t>Seltos</t>
        </is>
      </c>
      <c r="D684" s="214" t="inlineStr">
        <is>
          <t>Seltos GTX (O)</t>
        </is>
      </c>
      <c r="E684" s="215" t="inlineStr">
        <is>
          <t>Ivory Silver Gloss</t>
        </is>
      </c>
    </row>
    <row r="685" ht="15" customHeight="1">
      <c r="A685" s="211" t="n">
        <v>681</v>
      </c>
      <c r="B685" s="212" t="inlineStr">
        <is>
          <t>Kia</t>
        </is>
      </c>
      <c r="C685" s="213" t="inlineStr">
        <is>
          <t>Seltos</t>
        </is>
      </c>
      <c r="D685" s="214" t="inlineStr">
        <is>
          <t>Seltos GTX (O)</t>
        </is>
      </c>
      <c r="E685" s="215" t="inlineStr">
        <is>
          <t>Magma Red</t>
        </is>
      </c>
    </row>
    <row r="686" ht="15" customHeight="1">
      <c r="A686" s="211" t="n">
        <v>682</v>
      </c>
      <c r="B686" s="212" t="inlineStr">
        <is>
          <t>Kia</t>
        </is>
      </c>
      <c r="C686" s="213" t="inlineStr">
        <is>
          <t>Seltos</t>
        </is>
      </c>
      <c r="D686" s="214" t="inlineStr">
        <is>
          <t>Seltos GTX (O)</t>
        </is>
      </c>
      <c r="E686" s="215" t="inlineStr">
        <is>
          <t>Morning Haze</t>
        </is>
      </c>
    </row>
    <row r="687" ht="15" customHeight="1">
      <c r="A687" s="211" t="n">
        <v>683</v>
      </c>
      <c r="B687" s="212" t="inlineStr">
        <is>
          <t>Kia</t>
        </is>
      </c>
      <c r="C687" s="213" t="inlineStr">
        <is>
          <t>Seltos</t>
        </is>
      </c>
      <c r="D687" s="214" t="inlineStr">
        <is>
          <t>Seltos GTX (O)</t>
        </is>
      </c>
      <c r="E687" s="215" t="inlineStr">
        <is>
          <t>Pewter Olive</t>
        </is>
      </c>
    </row>
    <row r="688" ht="15" customHeight="1">
      <c r="A688" s="211" t="n">
        <v>684</v>
      </c>
      <c r="B688" s="212" t="inlineStr">
        <is>
          <t>Kia</t>
        </is>
      </c>
      <c r="C688" s="213" t="inlineStr">
        <is>
          <t>Seltos</t>
        </is>
      </c>
      <c r="D688" s="214" t="inlineStr">
        <is>
          <t>Seltos HTE</t>
        </is>
      </c>
      <c r="E688" s="215" t="inlineStr">
        <is>
          <t>Aurora Black Pearl</t>
        </is>
      </c>
    </row>
    <row r="689" ht="15" customHeight="1">
      <c r="A689" s="211" t="n">
        <v>685</v>
      </c>
      <c r="B689" s="212" t="inlineStr">
        <is>
          <t>Kia</t>
        </is>
      </c>
      <c r="C689" s="213" t="inlineStr">
        <is>
          <t>Seltos</t>
        </is>
      </c>
      <c r="D689" s="214" t="inlineStr">
        <is>
          <t>Seltos HTE</t>
        </is>
      </c>
      <c r="E689" s="215" t="inlineStr">
        <is>
          <t>Frost Blue</t>
        </is>
      </c>
    </row>
    <row r="690" ht="15" customHeight="1">
      <c r="A690" s="211" t="n">
        <v>686</v>
      </c>
      <c r="B690" s="212" t="inlineStr">
        <is>
          <t>Kia</t>
        </is>
      </c>
      <c r="C690" s="213" t="inlineStr">
        <is>
          <t>Seltos</t>
        </is>
      </c>
      <c r="D690" s="214" t="inlineStr">
        <is>
          <t>Seltos HTE</t>
        </is>
      </c>
      <c r="E690" s="215" t="inlineStr">
        <is>
          <t>Glacier White Pearl</t>
        </is>
      </c>
    </row>
    <row r="691" ht="15" customHeight="1">
      <c r="A691" s="211" t="n">
        <v>687</v>
      </c>
      <c r="B691" s="212" t="inlineStr">
        <is>
          <t>Kia</t>
        </is>
      </c>
      <c r="C691" s="213" t="inlineStr">
        <is>
          <t>Seltos</t>
        </is>
      </c>
      <c r="D691" s="214" t="inlineStr">
        <is>
          <t>Seltos HTE</t>
        </is>
      </c>
      <c r="E691" s="215" t="inlineStr">
        <is>
          <t>Gravity Grey</t>
        </is>
      </c>
    </row>
    <row r="692" ht="15" customHeight="1">
      <c r="A692" s="211" t="n">
        <v>688</v>
      </c>
      <c r="B692" s="212" t="inlineStr">
        <is>
          <t>Kia</t>
        </is>
      </c>
      <c r="C692" s="213" t="inlineStr">
        <is>
          <t>Seltos</t>
        </is>
      </c>
      <c r="D692" s="214" t="inlineStr">
        <is>
          <t>Seltos HTE</t>
        </is>
      </c>
      <c r="E692" s="215" t="inlineStr">
        <is>
          <t>Imperial Blue</t>
        </is>
      </c>
    </row>
    <row r="693" ht="15" customHeight="1">
      <c r="A693" s="211" t="n">
        <v>689</v>
      </c>
      <c r="B693" s="212" t="inlineStr">
        <is>
          <t>Kia</t>
        </is>
      </c>
      <c r="C693" s="213" t="inlineStr">
        <is>
          <t>Seltos</t>
        </is>
      </c>
      <c r="D693" s="214" t="inlineStr">
        <is>
          <t>Seltos HTE</t>
        </is>
      </c>
      <c r="E693" s="215" t="inlineStr">
        <is>
          <t>Ivory Silver Gloss</t>
        </is>
      </c>
    </row>
    <row r="694" ht="15" customHeight="1">
      <c r="A694" s="211" t="n">
        <v>690</v>
      </c>
      <c r="B694" s="212" t="inlineStr">
        <is>
          <t>Kia</t>
        </is>
      </c>
      <c r="C694" s="213" t="inlineStr">
        <is>
          <t>Seltos</t>
        </is>
      </c>
      <c r="D694" s="214" t="inlineStr">
        <is>
          <t>Seltos HTE</t>
        </is>
      </c>
      <c r="E694" s="215" t="inlineStr">
        <is>
          <t>Magma Red</t>
        </is>
      </c>
    </row>
    <row r="695" ht="15" customHeight="1">
      <c r="A695" s="211" t="n">
        <v>691</v>
      </c>
      <c r="B695" s="212" t="inlineStr">
        <is>
          <t>Kia</t>
        </is>
      </c>
      <c r="C695" s="213" t="inlineStr">
        <is>
          <t>Seltos</t>
        </is>
      </c>
      <c r="D695" s="214" t="inlineStr">
        <is>
          <t>Seltos HTE</t>
        </is>
      </c>
      <c r="E695" s="215" t="inlineStr">
        <is>
          <t>Morning Haze</t>
        </is>
      </c>
    </row>
    <row r="696" ht="15" customHeight="1">
      <c r="A696" s="211" t="n">
        <v>692</v>
      </c>
      <c r="B696" s="212" t="inlineStr">
        <is>
          <t>Kia</t>
        </is>
      </c>
      <c r="C696" s="213" t="inlineStr">
        <is>
          <t>Seltos</t>
        </is>
      </c>
      <c r="D696" s="214" t="inlineStr">
        <is>
          <t>Seltos HTE</t>
        </is>
      </c>
      <c r="E696" s="215" t="inlineStr">
        <is>
          <t>Pewter Olive</t>
        </is>
      </c>
    </row>
    <row r="697" ht="15" customHeight="1">
      <c r="A697" s="211" t="n">
        <v>693</v>
      </c>
      <c r="B697" s="212" t="inlineStr">
        <is>
          <t>Kia</t>
        </is>
      </c>
      <c r="C697" s="213" t="inlineStr">
        <is>
          <t>Seltos</t>
        </is>
      </c>
      <c r="D697" s="214" t="inlineStr">
        <is>
          <t>Seltos HTE (O)</t>
        </is>
      </c>
      <c r="E697" s="215" t="inlineStr">
        <is>
          <t>Aurora Black Pearl</t>
        </is>
      </c>
    </row>
    <row r="698" ht="15" customHeight="1">
      <c r="A698" s="211" t="n">
        <v>694</v>
      </c>
      <c r="B698" s="212" t="inlineStr">
        <is>
          <t>Kia</t>
        </is>
      </c>
      <c r="C698" s="213" t="inlineStr">
        <is>
          <t>Seltos</t>
        </is>
      </c>
      <c r="D698" s="214" t="inlineStr">
        <is>
          <t>Seltos HTE (O)</t>
        </is>
      </c>
      <c r="E698" s="215" t="inlineStr">
        <is>
          <t>Frost Blue</t>
        </is>
      </c>
    </row>
    <row r="699" ht="15" customHeight="1">
      <c r="A699" s="211" t="n">
        <v>695</v>
      </c>
      <c r="B699" s="212" t="inlineStr">
        <is>
          <t>Kia</t>
        </is>
      </c>
      <c r="C699" s="213" t="inlineStr">
        <is>
          <t>Seltos</t>
        </is>
      </c>
      <c r="D699" s="214" t="inlineStr">
        <is>
          <t>Seltos HTE (O)</t>
        </is>
      </c>
      <c r="E699" s="215" t="inlineStr">
        <is>
          <t>Glacier White Pearl</t>
        </is>
      </c>
    </row>
    <row r="700" ht="15" customHeight="1">
      <c r="A700" s="211" t="n">
        <v>696</v>
      </c>
      <c r="B700" s="212" t="inlineStr">
        <is>
          <t>Kia</t>
        </is>
      </c>
      <c r="C700" s="213" t="inlineStr">
        <is>
          <t>Seltos</t>
        </is>
      </c>
      <c r="D700" s="214" t="inlineStr">
        <is>
          <t>Seltos HTE (O)</t>
        </is>
      </c>
      <c r="E700" s="215" t="inlineStr">
        <is>
          <t>Gravity Grey</t>
        </is>
      </c>
    </row>
    <row r="701" ht="15" customHeight="1">
      <c r="A701" s="211" t="n">
        <v>697</v>
      </c>
      <c r="B701" s="212" t="inlineStr">
        <is>
          <t>Kia</t>
        </is>
      </c>
      <c r="C701" s="213" t="inlineStr">
        <is>
          <t>Seltos</t>
        </is>
      </c>
      <c r="D701" s="214" t="inlineStr">
        <is>
          <t>Seltos HTE (O)</t>
        </is>
      </c>
      <c r="E701" s="215" t="inlineStr">
        <is>
          <t>Imperial Blue</t>
        </is>
      </c>
    </row>
    <row r="702" ht="15" customHeight="1">
      <c r="A702" s="211" t="n">
        <v>698</v>
      </c>
      <c r="B702" s="212" t="inlineStr">
        <is>
          <t>Kia</t>
        </is>
      </c>
      <c r="C702" s="213" t="inlineStr">
        <is>
          <t>Seltos</t>
        </is>
      </c>
      <c r="D702" s="214" t="inlineStr">
        <is>
          <t>Seltos HTE (O)</t>
        </is>
      </c>
      <c r="E702" s="215" t="inlineStr">
        <is>
          <t>Ivory Silver Gloss</t>
        </is>
      </c>
    </row>
    <row r="703" ht="15" customHeight="1">
      <c r="A703" s="211" t="n">
        <v>699</v>
      </c>
      <c r="B703" s="212" t="inlineStr">
        <is>
          <t>Kia</t>
        </is>
      </c>
      <c r="C703" s="213" t="inlineStr">
        <is>
          <t>Seltos</t>
        </is>
      </c>
      <c r="D703" s="214" t="inlineStr">
        <is>
          <t>Seltos HTE (O)</t>
        </is>
      </c>
      <c r="E703" s="215" t="inlineStr">
        <is>
          <t>Magma Red</t>
        </is>
      </c>
    </row>
    <row r="704" ht="15" customHeight="1">
      <c r="A704" s="211" t="n">
        <v>700</v>
      </c>
      <c r="B704" s="212" t="inlineStr">
        <is>
          <t>Kia</t>
        </is>
      </c>
      <c r="C704" s="213" t="inlineStr">
        <is>
          <t>Seltos</t>
        </is>
      </c>
      <c r="D704" s="214" t="inlineStr">
        <is>
          <t>Seltos HTE (O)</t>
        </is>
      </c>
      <c r="E704" s="215" t="inlineStr">
        <is>
          <t>Morning Haze</t>
        </is>
      </c>
    </row>
    <row r="705" ht="15" customHeight="1">
      <c r="A705" s="211" t="n">
        <v>701</v>
      </c>
      <c r="B705" s="212" t="inlineStr">
        <is>
          <t>Kia</t>
        </is>
      </c>
      <c r="C705" s="213" t="inlineStr">
        <is>
          <t>Seltos</t>
        </is>
      </c>
      <c r="D705" s="214" t="inlineStr">
        <is>
          <t>Seltos HTE (O)</t>
        </is>
      </c>
      <c r="E705" s="215" t="inlineStr">
        <is>
          <t>Pewter Olive</t>
        </is>
      </c>
    </row>
    <row r="706" ht="15" customHeight="1">
      <c r="A706" s="211" t="n">
        <v>702</v>
      </c>
      <c r="B706" s="212" t="inlineStr">
        <is>
          <t>Kia</t>
        </is>
      </c>
      <c r="C706" s="213" t="inlineStr">
        <is>
          <t>Seltos</t>
        </is>
      </c>
      <c r="D706" s="214" t="inlineStr">
        <is>
          <t>Seltos HTK</t>
        </is>
      </c>
      <c r="E706" s="215" t="inlineStr">
        <is>
          <t>Aurora Black Pearl</t>
        </is>
      </c>
    </row>
    <row r="707" ht="15" customHeight="1">
      <c r="A707" s="211" t="n">
        <v>703</v>
      </c>
      <c r="B707" s="212" t="inlineStr">
        <is>
          <t>Kia</t>
        </is>
      </c>
      <c r="C707" s="213" t="inlineStr">
        <is>
          <t>Seltos</t>
        </is>
      </c>
      <c r="D707" s="214" t="inlineStr">
        <is>
          <t>Seltos HTK</t>
        </is>
      </c>
      <c r="E707" s="215" t="inlineStr">
        <is>
          <t>Frost Blue</t>
        </is>
      </c>
    </row>
    <row r="708" ht="15" customHeight="1">
      <c r="A708" s="211" t="n">
        <v>704</v>
      </c>
      <c r="B708" s="212" t="inlineStr">
        <is>
          <t>Kia</t>
        </is>
      </c>
      <c r="C708" s="213" t="inlineStr">
        <is>
          <t>Seltos</t>
        </is>
      </c>
      <c r="D708" s="214" t="inlineStr">
        <is>
          <t>Seltos HTK</t>
        </is>
      </c>
      <c r="E708" s="215" t="inlineStr">
        <is>
          <t>Glacier White Pearl</t>
        </is>
      </c>
    </row>
    <row r="709" ht="15" customHeight="1">
      <c r="A709" s="211" t="n">
        <v>705</v>
      </c>
      <c r="B709" s="212" t="inlineStr">
        <is>
          <t>Kia</t>
        </is>
      </c>
      <c r="C709" s="213" t="inlineStr">
        <is>
          <t>Seltos</t>
        </is>
      </c>
      <c r="D709" s="214" t="inlineStr">
        <is>
          <t>Seltos HTK</t>
        </is>
      </c>
      <c r="E709" s="215" t="inlineStr">
        <is>
          <t>Gravity Grey</t>
        </is>
      </c>
    </row>
    <row r="710" ht="15" customHeight="1">
      <c r="A710" s="211" t="n">
        <v>706</v>
      </c>
      <c r="B710" s="212" t="inlineStr">
        <is>
          <t>Kia</t>
        </is>
      </c>
      <c r="C710" s="213" t="inlineStr">
        <is>
          <t>Seltos</t>
        </is>
      </c>
      <c r="D710" s="214" t="inlineStr">
        <is>
          <t>Seltos HTK</t>
        </is>
      </c>
      <c r="E710" s="215" t="inlineStr">
        <is>
          <t>Imperial Blue</t>
        </is>
      </c>
    </row>
    <row r="711" ht="15" customHeight="1">
      <c r="A711" s="211" t="n">
        <v>707</v>
      </c>
      <c r="B711" s="212" t="inlineStr">
        <is>
          <t>Kia</t>
        </is>
      </c>
      <c r="C711" s="213" t="inlineStr">
        <is>
          <t>Seltos</t>
        </is>
      </c>
      <c r="D711" s="214" t="inlineStr">
        <is>
          <t>Seltos HTK</t>
        </is>
      </c>
      <c r="E711" s="215" t="inlineStr">
        <is>
          <t>Ivory Silver Gloss</t>
        </is>
      </c>
    </row>
    <row r="712" ht="15" customHeight="1">
      <c r="A712" s="211" t="n">
        <v>708</v>
      </c>
      <c r="B712" s="212" t="inlineStr">
        <is>
          <t>Kia</t>
        </is>
      </c>
      <c r="C712" s="213" t="inlineStr">
        <is>
          <t>Seltos</t>
        </is>
      </c>
      <c r="D712" s="214" t="inlineStr">
        <is>
          <t>Seltos HTK</t>
        </is>
      </c>
      <c r="E712" s="215" t="inlineStr">
        <is>
          <t>Magma Red</t>
        </is>
      </c>
    </row>
    <row r="713" ht="15" customHeight="1">
      <c r="A713" s="211" t="n">
        <v>709</v>
      </c>
      <c r="B713" s="212" t="inlineStr">
        <is>
          <t>Kia</t>
        </is>
      </c>
      <c r="C713" s="213" t="inlineStr">
        <is>
          <t>Seltos</t>
        </is>
      </c>
      <c r="D713" s="214" t="inlineStr">
        <is>
          <t>Seltos HTK</t>
        </is>
      </c>
      <c r="E713" s="215" t="inlineStr">
        <is>
          <t>Morning Haze</t>
        </is>
      </c>
    </row>
    <row r="714" ht="15" customHeight="1">
      <c r="A714" s="211" t="n">
        <v>710</v>
      </c>
      <c r="B714" s="212" t="inlineStr">
        <is>
          <t>Kia</t>
        </is>
      </c>
      <c r="C714" s="213" t="inlineStr">
        <is>
          <t>Seltos</t>
        </is>
      </c>
      <c r="D714" s="214" t="inlineStr">
        <is>
          <t>Seltos HTK</t>
        </is>
      </c>
      <c r="E714" s="215" t="inlineStr">
        <is>
          <t>Pewter Olive</t>
        </is>
      </c>
    </row>
    <row r="715" ht="15" customHeight="1">
      <c r="A715" s="211" t="n">
        <v>711</v>
      </c>
      <c r="B715" s="212" t="inlineStr">
        <is>
          <t>Kia</t>
        </is>
      </c>
      <c r="C715" s="213" t="inlineStr">
        <is>
          <t>Seltos</t>
        </is>
      </c>
      <c r="D715" s="214" t="inlineStr">
        <is>
          <t>Seltos HTK (O)</t>
        </is>
      </c>
      <c r="E715" s="215" t="inlineStr">
        <is>
          <t>Aurora Black Pearl</t>
        </is>
      </c>
    </row>
    <row r="716" ht="15" customHeight="1">
      <c r="A716" s="211" t="n">
        <v>712</v>
      </c>
      <c r="B716" s="212" t="inlineStr">
        <is>
          <t>Kia</t>
        </is>
      </c>
      <c r="C716" s="213" t="inlineStr">
        <is>
          <t>Seltos</t>
        </is>
      </c>
      <c r="D716" s="214" t="inlineStr">
        <is>
          <t>Seltos HTK (O)</t>
        </is>
      </c>
      <c r="E716" s="215" t="inlineStr">
        <is>
          <t>Frost Blue</t>
        </is>
      </c>
    </row>
    <row r="717" ht="15" customHeight="1">
      <c r="A717" s="211" t="n">
        <v>713</v>
      </c>
      <c r="B717" s="212" t="inlineStr">
        <is>
          <t>Kia</t>
        </is>
      </c>
      <c r="C717" s="213" t="inlineStr">
        <is>
          <t>Seltos</t>
        </is>
      </c>
      <c r="D717" s="214" t="inlineStr">
        <is>
          <t>Seltos HTK (O)</t>
        </is>
      </c>
      <c r="E717" s="215" t="inlineStr">
        <is>
          <t>Glacier White Pearl</t>
        </is>
      </c>
    </row>
    <row r="718" ht="15" customHeight="1">
      <c r="A718" s="211" t="n">
        <v>714</v>
      </c>
      <c r="B718" s="212" t="inlineStr">
        <is>
          <t>Kia</t>
        </is>
      </c>
      <c r="C718" s="213" t="inlineStr">
        <is>
          <t>Seltos</t>
        </is>
      </c>
      <c r="D718" s="214" t="inlineStr">
        <is>
          <t>Seltos HTK (O)</t>
        </is>
      </c>
      <c r="E718" s="215" t="inlineStr">
        <is>
          <t>Gravity Grey</t>
        </is>
      </c>
    </row>
    <row r="719" ht="15" customHeight="1">
      <c r="A719" s="211" t="n">
        <v>715</v>
      </c>
      <c r="B719" s="212" t="inlineStr">
        <is>
          <t>Kia</t>
        </is>
      </c>
      <c r="C719" s="213" t="inlineStr">
        <is>
          <t>Seltos</t>
        </is>
      </c>
      <c r="D719" s="214" t="inlineStr">
        <is>
          <t>Seltos HTK (O)</t>
        </is>
      </c>
      <c r="E719" s="215" t="inlineStr">
        <is>
          <t>Imperial Blue</t>
        </is>
      </c>
    </row>
    <row r="720" ht="15" customHeight="1">
      <c r="A720" s="211" t="n">
        <v>716</v>
      </c>
      <c r="B720" s="212" t="inlineStr">
        <is>
          <t>Kia</t>
        </is>
      </c>
      <c r="C720" s="213" t="inlineStr">
        <is>
          <t>Seltos</t>
        </is>
      </c>
      <c r="D720" s="214" t="inlineStr">
        <is>
          <t>Seltos HTK (O)</t>
        </is>
      </c>
      <c r="E720" s="215" t="inlineStr">
        <is>
          <t>Ivory Silver Gloss</t>
        </is>
      </c>
    </row>
    <row r="721" ht="15" customHeight="1">
      <c r="A721" s="211" t="n">
        <v>717</v>
      </c>
      <c r="B721" s="212" t="inlineStr">
        <is>
          <t>Kia</t>
        </is>
      </c>
      <c r="C721" s="213" t="inlineStr">
        <is>
          <t>Seltos</t>
        </is>
      </c>
      <c r="D721" s="214" t="inlineStr">
        <is>
          <t>Seltos HTK (O)</t>
        </is>
      </c>
      <c r="E721" s="215" t="inlineStr">
        <is>
          <t>Magma Red</t>
        </is>
      </c>
    </row>
    <row r="722" ht="15" customHeight="1">
      <c r="A722" s="211" t="n">
        <v>718</v>
      </c>
      <c r="B722" s="212" t="inlineStr">
        <is>
          <t>Kia</t>
        </is>
      </c>
      <c r="C722" s="213" t="inlineStr">
        <is>
          <t>Seltos</t>
        </is>
      </c>
      <c r="D722" s="214" t="inlineStr">
        <is>
          <t>Seltos HTK (O)</t>
        </is>
      </c>
      <c r="E722" s="215" t="inlineStr">
        <is>
          <t>Morning Haze</t>
        </is>
      </c>
    </row>
    <row r="723" ht="15" customHeight="1">
      <c r="A723" s="211" t="n">
        <v>719</v>
      </c>
      <c r="B723" s="212" t="inlineStr">
        <is>
          <t>Kia</t>
        </is>
      </c>
      <c r="C723" s="213" t="inlineStr">
        <is>
          <t>Seltos</t>
        </is>
      </c>
      <c r="D723" s="214" t="inlineStr">
        <is>
          <t>Seltos HTK (O)</t>
        </is>
      </c>
      <c r="E723" s="215" t="inlineStr">
        <is>
          <t>Pewter Olive</t>
        </is>
      </c>
    </row>
    <row r="724" ht="15" customHeight="1">
      <c r="A724" s="211" t="n">
        <v>720</v>
      </c>
      <c r="B724" s="212" t="inlineStr">
        <is>
          <t>Kia</t>
        </is>
      </c>
      <c r="C724" s="213" t="inlineStr">
        <is>
          <t>Seltos</t>
        </is>
      </c>
      <c r="D724" s="214" t="inlineStr">
        <is>
          <t>Seltos HTX</t>
        </is>
      </c>
      <c r="E724" s="215" t="inlineStr">
        <is>
          <t>Aurora Black Pearl</t>
        </is>
      </c>
    </row>
    <row r="725" ht="15" customHeight="1">
      <c r="A725" s="211" t="n">
        <v>721</v>
      </c>
      <c r="B725" s="212" t="inlineStr">
        <is>
          <t>Kia</t>
        </is>
      </c>
      <c r="C725" s="213" t="inlineStr">
        <is>
          <t>Seltos</t>
        </is>
      </c>
      <c r="D725" s="214" t="inlineStr">
        <is>
          <t>Seltos HTX</t>
        </is>
      </c>
      <c r="E725" s="215" t="inlineStr">
        <is>
          <t>Frost Blue</t>
        </is>
      </c>
    </row>
    <row r="726" ht="15" customHeight="1">
      <c r="A726" s="211" t="n">
        <v>722</v>
      </c>
      <c r="B726" s="212" t="inlineStr">
        <is>
          <t>Kia</t>
        </is>
      </c>
      <c r="C726" s="213" t="inlineStr">
        <is>
          <t>Seltos</t>
        </is>
      </c>
      <c r="D726" s="214" t="inlineStr">
        <is>
          <t>Seltos HTX</t>
        </is>
      </c>
      <c r="E726" s="215" t="inlineStr">
        <is>
          <t>Glacier White Pearl</t>
        </is>
      </c>
    </row>
    <row r="727" ht="15" customHeight="1">
      <c r="A727" s="211" t="n">
        <v>723</v>
      </c>
      <c r="B727" s="212" t="inlineStr">
        <is>
          <t>Kia</t>
        </is>
      </c>
      <c r="C727" s="213" t="inlineStr">
        <is>
          <t>Seltos</t>
        </is>
      </c>
      <c r="D727" s="214" t="inlineStr">
        <is>
          <t>Seltos HTX</t>
        </is>
      </c>
      <c r="E727" s="215" t="inlineStr">
        <is>
          <t>Gravity Grey</t>
        </is>
      </c>
    </row>
    <row r="728" ht="15" customHeight="1">
      <c r="A728" s="211" t="n">
        <v>724</v>
      </c>
      <c r="B728" s="212" t="inlineStr">
        <is>
          <t>Kia</t>
        </is>
      </c>
      <c r="C728" s="213" t="inlineStr">
        <is>
          <t>Seltos</t>
        </is>
      </c>
      <c r="D728" s="214" t="inlineStr">
        <is>
          <t>Seltos HTX</t>
        </is>
      </c>
      <c r="E728" s="215" t="inlineStr">
        <is>
          <t>Imperial Blue</t>
        </is>
      </c>
    </row>
    <row r="729" ht="15" customHeight="1">
      <c r="A729" s="211" t="n">
        <v>725</v>
      </c>
      <c r="B729" s="212" t="inlineStr">
        <is>
          <t>Kia</t>
        </is>
      </c>
      <c r="C729" s="213" t="inlineStr">
        <is>
          <t>Seltos</t>
        </is>
      </c>
      <c r="D729" s="214" t="inlineStr">
        <is>
          <t>Seltos HTX</t>
        </is>
      </c>
      <c r="E729" s="215" t="inlineStr">
        <is>
          <t>Ivory Silver Gloss</t>
        </is>
      </c>
    </row>
    <row r="730" ht="15" customHeight="1">
      <c r="A730" s="211" t="n">
        <v>726</v>
      </c>
      <c r="B730" s="212" t="inlineStr">
        <is>
          <t>Kia</t>
        </is>
      </c>
      <c r="C730" s="213" t="inlineStr">
        <is>
          <t>Seltos</t>
        </is>
      </c>
      <c r="D730" s="214" t="inlineStr">
        <is>
          <t>Seltos HTX</t>
        </is>
      </c>
      <c r="E730" s="215" t="inlineStr">
        <is>
          <t>Magma Red</t>
        </is>
      </c>
    </row>
    <row r="731" ht="15" customHeight="1">
      <c r="A731" s="211" t="n">
        <v>727</v>
      </c>
      <c r="B731" s="212" t="inlineStr">
        <is>
          <t>Kia</t>
        </is>
      </c>
      <c r="C731" s="213" t="inlineStr">
        <is>
          <t>Seltos</t>
        </is>
      </c>
      <c r="D731" s="214" t="inlineStr">
        <is>
          <t>Seltos HTX</t>
        </is>
      </c>
      <c r="E731" s="215" t="inlineStr">
        <is>
          <t>Morning Haze</t>
        </is>
      </c>
    </row>
    <row r="732" ht="15" customHeight="1">
      <c r="A732" s="211" t="n">
        <v>728</v>
      </c>
      <c r="B732" s="212" t="inlineStr">
        <is>
          <t>Kia</t>
        </is>
      </c>
      <c r="C732" s="213" t="inlineStr">
        <is>
          <t>Seltos</t>
        </is>
      </c>
      <c r="D732" s="214" t="inlineStr">
        <is>
          <t>Seltos HTX</t>
        </is>
      </c>
      <c r="E732" s="215" t="inlineStr">
        <is>
          <t>Pewter Olive</t>
        </is>
      </c>
    </row>
    <row r="733" ht="15" customHeight="1">
      <c r="A733" s="211" t="n">
        <v>729</v>
      </c>
      <c r="B733" s="212" t="inlineStr">
        <is>
          <t>Kia</t>
        </is>
      </c>
      <c r="C733" s="213" t="inlineStr">
        <is>
          <t>Seltos</t>
        </is>
      </c>
      <c r="D733" s="214" t="inlineStr">
        <is>
          <t>Seltos HTX (A)</t>
        </is>
      </c>
      <c r="E733" s="215" t="inlineStr">
        <is>
          <t>Aurora Black Pearl</t>
        </is>
      </c>
    </row>
    <row r="734" ht="15" customHeight="1">
      <c r="A734" s="211" t="n">
        <v>730</v>
      </c>
      <c r="B734" s="212" t="inlineStr">
        <is>
          <t>Kia</t>
        </is>
      </c>
      <c r="C734" s="213" t="inlineStr">
        <is>
          <t>Seltos</t>
        </is>
      </c>
      <c r="D734" s="214" t="inlineStr">
        <is>
          <t>Seltos HTX (A)</t>
        </is>
      </c>
      <c r="E734" s="215" t="inlineStr">
        <is>
          <t>Frost Blue</t>
        </is>
      </c>
    </row>
    <row r="735" ht="15" customHeight="1">
      <c r="A735" s="211" t="n">
        <v>731</v>
      </c>
      <c r="B735" s="212" t="inlineStr">
        <is>
          <t>Kia</t>
        </is>
      </c>
      <c r="C735" s="213" t="inlineStr">
        <is>
          <t>Seltos</t>
        </is>
      </c>
      <c r="D735" s="214" t="inlineStr">
        <is>
          <t>Seltos HTX (A)</t>
        </is>
      </c>
      <c r="E735" s="215" t="inlineStr">
        <is>
          <t>Glacier White Pearl</t>
        </is>
      </c>
    </row>
    <row r="736" ht="15" customHeight="1">
      <c r="A736" s="211" t="n">
        <v>732</v>
      </c>
      <c r="B736" s="212" t="inlineStr">
        <is>
          <t>Kia</t>
        </is>
      </c>
      <c r="C736" s="213" t="inlineStr">
        <is>
          <t>Seltos</t>
        </is>
      </c>
      <c r="D736" s="214" t="inlineStr">
        <is>
          <t>Seltos HTX (A)</t>
        </is>
      </c>
      <c r="E736" s="215" t="inlineStr">
        <is>
          <t>Gravity Grey</t>
        </is>
      </c>
    </row>
    <row r="737" ht="15" customHeight="1">
      <c r="A737" s="211" t="n">
        <v>733</v>
      </c>
      <c r="B737" s="212" t="inlineStr">
        <is>
          <t>Kia</t>
        </is>
      </c>
      <c r="C737" s="213" t="inlineStr">
        <is>
          <t>Seltos</t>
        </is>
      </c>
      <c r="D737" s="214" t="inlineStr">
        <is>
          <t>Seltos HTX (A)</t>
        </is>
      </c>
      <c r="E737" s="215" t="inlineStr">
        <is>
          <t>Imperial Blue</t>
        </is>
      </c>
    </row>
    <row r="738" ht="15" customHeight="1">
      <c r="A738" s="211" t="n">
        <v>734</v>
      </c>
      <c r="B738" s="212" t="inlineStr">
        <is>
          <t>Kia</t>
        </is>
      </c>
      <c r="C738" s="213" t="inlineStr">
        <is>
          <t>Seltos</t>
        </is>
      </c>
      <c r="D738" s="214" t="inlineStr">
        <is>
          <t>Seltos HTX (A)</t>
        </is>
      </c>
      <c r="E738" s="215" t="inlineStr">
        <is>
          <t>Ivory Silver Gloss</t>
        </is>
      </c>
    </row>
    <row r="739" ht="15" customHeight="1">
      <c r="A739" s="211" t="n">
        <v>735</v>
      </c>
      <c r="B739" s="212" t="inlineStr">
        <is>
          <t>Kia</t>
        </is>
      </c>
      <c r="C739" s="213" t="inlineStr">
        <is>
          <t>Seltos</t>
        </is>
      </c>
      <c r="D739" s="214" t="inlineStr">
        <is>
          <t>Seltos HTX (A)</t>
        </is>
      </c>
      <c r="E739" s="215" t="inlineStr">
        <is>
          <t>Magma Red</t>
        </is>
      </c>
    </row>
    <row r="740" ht="15" customHeight="1">
      <c r="A740" s="211" t="n">
        <v>736</v>
      </c>
      <c r="B740" s="212" t="inlineStr">
        <is>
          <t>Kia</t>
        </is>
      </c>
      <c r="C740" s="213" t="inlineStr">
        <is>
          <t>Seltos</t>
        </is>
      </c>
      <c r="D740" s="214" t="inlineStr">
        <is>
          <t>Seltos HTX (A)</t>
        </is>
      </c>
      <c r="E740" s="215" t="inlineStr">
        <is>
          <t>Morning Haze</t>
        </is>
      </c>
    </row>
    <row r="741" ht="15" customHeight="1">
      <c r="A741" s="211" t="n">
        <v>737</v>
      </c>
      <c r="B741" s="212" t="inlineStr">
        <is>
          <t>Kia</t>
        </is>
      </c>
      <c r="C741" s="213" t="inlineStr">
        <is>
          <t>Seltos</t>
        </is>
      </c>
      <c r="D741" s="214" t="inlineStr">
        <is>
          <t>Seltos HTX (A)</t>
        </is>
      </c>
      <c r="E741" s="215" t="inlineStr">
        <is>
          <t>Pewter Olive</t>
        </is>
      </c>
    </row>
    <row r="742" ht="15" customHeight="1">
      <c r="A742" s="211" t="n">
        <v>738</v>
      </c>
      <c r="B742" s="212" t="inlineStr">
        <is>
          <t>Kia</t>
        </is>
      </c>
      <c r="C742" s="213" t="inlineStr">
        <is>
          <t>Seltos</t>
        </is>
      </c>
      <c r="D742" s="214" t="inlineStr">
        <is>
          <t>Seltos X-Line</t>
        </is>
      </c>
      <c r="E742" s="215" t="inlineStr">
        <is>
          <t>Aurora Black Pearl</t>
        </is>
      </c>
    </row>
    <row r="743" ht="15" customHeight="1">
      <c r="A743" s="211" t="n">
        <v>739</v>
      </c>
      <c r="B743" s="212" t="inlineStr">
        <is>
          <t>Kia</t>
        </is>
      </c>
      <c r="C743" s="213" t="inlineStr">
        <is>
          <t>Seltos</t>
        </is>
      </c>
      <c r="D743" s="214" t="inlineStr">
        <is>
          <t>Seltos X-Line</t>
        </is>
      </c>
      <c r="E743" s="215" t="inlineStr">
        <is>
          <t>Matte Graphite</t>
        </is>
      </c>
    </row>
    <row r="744" ht="15" customHeight="1">
      <c r="A744" s="211" t="n">
        <v>740</v>
      </c>
      <c r="B744" s="212" t="inlineStr">
        <is>
          <t>Kia</t>
        </is>
      </c>
      <c r="C744" s="213" t="inlineStr">
        <is>
          <t>Seltos</t>
        </is>
      </c>
      <c r="D744" s="214" t="inlineStr">
        <is>
          <t>Seltos X-Line (A)</t>
        </is>
      </c>
      <c r="E744" s="215" t="inlineStr">
        <is>
          <t>Aurora Black Pearl</t>
        </is>
      </c>
    </row>
    <row r="745" ht="15" customHeight="1">
      <c r="A745" s="211" t="n">
        <v>741</v>
      </c>
      <c r="B745" s="212" t="inlineStr">
        <is>
          <t>Kia</t>
        </is>
      </c>
      <c r="C745" s="213" t="inlineStr">
        <is>
          <t>Seltos</t>
        </is>
      </c>
      <c r="D745" s="214" t="inlineStr">
        <is>
          <t>Seltos X-Line (A)</t>
        </is>
      </c>
      <c r="E745" s="215" t="inlineStr">
        <is>
          <t>Matte Graphite</t>
        </is>
      </c>
    </row>
    <row r="746" ht="15" customHeight="1">
      <c r="A746" s="211" t="n">
        <v>742</v>
      </c>
      <c r="B746" s="212" t="inlineStr">
        <is>
          <t>Kia</t>
        </is>
      </c>
      <c r="C746" s="213" t="inlineStr">
        <is>
          <t>Seltos</t>
        </is>
      </c>
      <c r="D746" s="214" t="inlineStr">
        <is>
          <t>Seltos X-Line (O)</t>
        </is>
      </c>
      <c r="E746" s="215" t="inlineStr">
        <is>
          <t>Aurora Black Pearl</t>
        </is>
      </c>
    </row>
    <row r="747" ht="15" customHeight="1">
      <c r="A747" s="211" t="n">
        <v>743</v>
      </c>
      <c r="B747" s="212" t="inlineStr">
        <is>
          <t>Kia</t>
        </is>
      </c>
      <c r="C747" s="213" t="inlineStr">
        <is>
          <t>Seltos</t>
        </is>
      </c>
      <c r="D747" s="214" t="inlineStr">
        <is>
          <t>Seltos X-Line (O)</t>
        </is>
      </c>
      <c r="E747" s="215" t="inlineStr">
        <is>
          <t>Matte Graphite</t>
        </is>
      </c>
    </row>
    <row r="748" ht="15" customHeight="1">
      <c r="A748" s="211" t="n">
        <v>744</v>
      </c>
      <c r="B748" s="212" t="inlineStr">
        <is>
          <t>Kia</t>
        </is>
      </c>
      <c r="C748" s="213" t="inlineStr">
        <is>
          <t>Sonet</t>
        </is>
      </c>
      <c r="D748" s="214" t="inlineStr">
        <is>
          <t>Sonet GTX Plus</t>
        </is>
      </c>
      <c r="E748" s="215" t="inlineStr">
        <is>
          <t>Aurora Black Pearl</t>
        </is>
      </c>
    </row>
    <row r="749" ht="15" customHeight="1">
      <c r="A749" s="211" t="n">
        <v>745</v>
      </c>
      <c r="B749" s="212" t="inlineStr">
        <is>
          <t>Kia</t>
        </is>
      </c>
      <c r="C749" s="213" t="inlineStr">
        <is>
          <t>Sonet</t>
        </is>
      </c>
      <c r="D749" s="214" t="inlineStr">
        <is>
          <t>Sonet GTX Plus</t>
        </is>
      </c>
      <c r="E749" s="215" t="inlineStr">
        <is>
          <t>Glacier White Pearl</t>
        </is>
      </c>
    </row>
    <row r="750" ht="15" customHeight="1">
      <c r="A750" s="211" t="n">
        <v>746</v>
      </c>
      <c r="B750" s="212" t="inlineStr">
        <is>
          <t>Kia</t>
        </is>
      </c>
      <c r="C750" s="213" t="inlineStr">
        <is>
          <t>Sonet</t>
        </is>
      </c>
      <c r="D750" s="214" t="inlineStr">
        <is>
          <t>Sonet GTX Plus</t>
        </is>
      </c>
      <c r="E750" s="215" t="inlineStr">
        <is>
          <t>Gravity Grey</t>
        </is>
      </c>
    </row>
    <row r="751" ht="15" customHeight="1">
      <c r="A751" s="211" t="n">
        <v>747</v>
      </c>
      <c r="B751" s="212" t="inlineStr">
        <is>
          <t>Kia</t>
        </is>
      </c>
      <c r="C751" s="213" t="inlineStr">
        <is>
          <t>Sonet</t>
        </is>
      </c>
      <c r="D751" s="214" t="inlineStr">
        <is>
          <t>Sonet GTX Plus</t>
        </is>
      </c>
      <c r="E751" s="215" t="inlineStr">
        <is>
          <t>Imperial Blue</t>
        </is>
      </c>
    </row>
    <row r="752" ht="15" customHeight="1">
      <c r="A752" s="211" t="n">
        <v>748</v>
      </c>
      <c r="B752" s="212" t="inlineStr">
        <is>
          <t>Kia</t>
        </is>
      </c>
      <c r="C752" s="213" t="inlineStr">
        <is>
          <t>Sonet</t>
        </is>
      </c>
      <c r="D752" s="214" t="inlineStr">
        <is>
          <t>Sonet GTX Plus</t>
        </is>
      </c>
      <c r="E752" s="215" t="inlineStr">
        <is>
          <t>Magma Red</t>
        </is>
      </c>
    </row>
    <row r="753" ht="15" customHeight="1">
      <c r="A753" s="211" t="n">
        <v>749</v>
      </c>
      <c r="B753" s="212" t="inlineStr">
        <is>
          <t>Kia</t>
        </is>
      </c>
      <c r="C753" s="213" t="inlineStr">
        <is>
          <t>Sonet</t>
        </is>
      </c>
      <c r="D753" s="214" t="inlineStr">
        <is>
          <t>Sonet GTX Plus</t>
        </is>
      </c>
      <c r="E753" s="215" t="inlineStr">
        <is>
          <t>Pewter Olive</t>
        </is>
      </c>
    </row>
    <row r="754" ht="15" customHeight="1">
      <c r="A754" s="211" t="n">
        <v>750</v>
      </c>
      <c r="B754" s="212" t="inlineStr">
        <is>
          <t>Kia</t>
        </is>
      </c>
      <c r="C754" s="213" t="inlineStr">
        <is>
          <t>Sonet</t>
        </is>
      </c>
      <c r="D754" s="214" t="inlineStr">
        <is>
          <t>Sonet HTE</t>
        </is>
      </c>
      <c r="E754" s="215" t="inlineStr">
        <is>
          <t>Aurora Black Pearl</t>
        </is>
      </c>
    </row>
    <row r="755" ht="15" customHeight="1">
      <c r="A755" s="211" t="n">
        <v>751</v>
      </c>
      <c r="B755" s="212" t="inlineStr">
        <is>
          <t>Kia</t>
        </is>
      </c>
      <c r="C755" s="213" t="inlineStr">
        <is>
          <t>Sonet</t>
        </is>
      </c>
      <c r="D755" s="214" t="inlineStr">
        <is>
          <t>Sonet HTE</t>
        </is>
      </c>
      <c r="E755" s="215" t="inlineStr">
        <is>
          <t>Gravity Grey</t>
        </is>
      </c>
    </row>
    <row r="756" ht="15" customHeight="1">
      <c r="A756" s="211" t="n">
        <v>752</v>
      </c>
      <c r="B756" s="212" t="inlineStr">
        <is>
          <t>Kia</t>
        </is>
      </c>
      <c r="C756" s="213" t="inlineStr">
        <is>
          <t>Sonet</t>
        </is>
      </c>
      <c r="D756" s="214" t="inlineStr">
        <is>
          <t>Sonet HTE</t>
        </is>
      </c>
      <c r="E756" s="215" t="inlineStr">
        <is>
          <t>Imperial Blue</t>
        </is>
      </c>
    </row>
    <row r="757" ht="15" customHeight="1">
      <c r="A757" s="211" t="n">
        <v>753</v>
      </c>
      <c r="B757" s="212" t="inlineStr">
        <is>
          <t>Kia</t>
        </is>
      </c>
      <c r="C757" s="213" t="inlineStr">
        <is>
          <t>Sonet</t>
        </is>
      </c>
      <c r="D757" s="214" t="inlineStr">
        <is>
          <t>Sonet HTE</t>
        </is>
      </c>
      <c r="E757" s="215" t="inlineStr">
        <is>
          <t>Magma Red</t>
        </is>
      </c>
    </row>
    <row r="758" ht="15" customHeight="1">
      <c r="A758" s="211" t="n">
        <v>754</v>
      </c>
      <c r="B758" s="212" t="inlineStr">
        <is>
          <t>Kia</t>
        </is>
      </c>
      <c r="C758" s="213" t="inlineStr">
        <is>
          <t>Sonet</t>
        </is>
      </c>
      <c r="D758" s="214" t="inlineStr">
        <is>
          <t>Sonet HTE</t>
        </is>
      </c>
      <c r="E758" s="215" t="inlineStr">
        <is>
          <t>Pewter Olive</t>
        </is>
      </c>
    </row>
    <row r="759" ht="15" customHeight="1">
      <c r="A759" s="211" t="n">
        <v>755</v>
      </c>
      <c r="B759" s="212" t="inlineStr">
        <is>
          <t>Kia</t>
        </is>
      </c>
      <c r="C759" s="213" t="inlineStr">
        <is>
          <t>Sonet</t>
        </is>
      </c>
      <c r="D759" s="214" t="inlineStr">
        <is>
          <t>Sonet HTE (O)</t>
        </is>
      </c>
      <c r="E759" s="215" t="inlineStr">
        <is>
          <t>Aurora Black Pearl</t>
        </is>
      </c>
    </row>
    <row r="760" ht="15" customHeight="1">
      <c r="A760" s="211" t="n">
        <v>756</v>
      </c>
      <c r="B760" s="212" t="inlineStr">
        <is>
          <t>Kia</t>
        </is>
      </c>
      <c r="C760" s="213" t="inlineStr">
        <is>
          <t>Sonet</t>
        </is>
      </c>
      <c r="D760" s="214" t="inlineStr">
        <is>
          <t>Sonet HTE (O)</t>
        </is>
      </c>
      <c r="E760" s="215" t="inlineStr">
        <is>
          <t>Clear White</t>
        </is>
      </c>
    </row>
    <row r="761" ht="15" customHeight="1">
      <c r="A761" s="211" t="n">
        <v>757</v>
      </c>
      <c r="B761" s="212" t="inlineStr">
        <is>
          <t>Kia</t>
        </is>
      </c>
      <c r="C761" s="213" t="inlineStr">
        <is>
          <t>Sonet</t>
        </is>
      </c>
      <c r="D761" s="214" t="inlineStr">
        <is>
          <t>Sonet HTE (O)</t>
        </is>
      </c>
      <c r="E761" s="215" t="inlineStr">
        <is>
          <t>Gravity Grey</t>
        </is>
      </c>
    </row>
    <row r="762" ht="15" customHeight="1">
      <c r="A762" s="211" t="n">
        <v>758</v>
      </c>
      <c r="B762" s="212" t="inlineStr">
        <is>
          <t>Kia</t>
        </is>
      </c>
      <c r="C762" s="213" t="inlineStr">
        <is>
          <t>Sonet</t>
        </is>
      </c>
      <c r="D762" s="214" t="inlineStr">
        <is>
          <t>Sonet HTE (O)</t>
        </is>
      </c>
      <c r="E762" s="215" t="inlineStr">
        <is>
          <t>Imperial Blue</t>
        </is>
      </c>
    </row>
    <row r="763" ht="15" customHeight="1">
      <c r="A763" s="211" t="n">
        <v>759</v>
      </c>
      <c r="B763" s="212" t="inlineStr">
        <is>
          <t>Kia</t>
        </is>
      </c>
      <c r="C763" s="213" t="inlineStr">
        <is>
          <t>Sonet</t>
        </is>
      </c>
      <c r="D763" s="214" t="inlineStr">
        <is>
          <t>Sonet HTE (O)</t>
        </is>
      </c>
      <c r="E763" s="215" t="inlineStr">
        <is>
          <t>Magma Red</t>
        </is>
      </c>
    </row>
    <row r="764" ht="15" customHeight="1">
      <c r="A764" s="211" t="n">
        <v>760</v>
      </c>
      <c r="B764" s="212" t="inlineStr">
        <is>
          <t>Kia</t>
        </is>
      </c>
      <c r="C764" s="213" t="inlineStr">
        <is>
          <t>Sonet</t>
        </is>
      </c>
      <c r="D764" s="214" t="inlineStr">
        <is>
          <t>Sonet HTE (O)</t>
        </is>
      </c>
      <c r="E764" s="215" t="inlineStr">
        <is>
          <t>Pewter Olive</t>
        </is>
      </c>
    </row>
    <row r="765" ht="15" customHeight="1">
      <c r="A765" s="211" t="n">
        <v>761</v>
      </c>
      <c r="B765" s="212" t="inlineStr">
        <is>
          <t>Kia</t>
        </is>
      </c>
      <c r="C765" s="213" t="inlineStr">
        <is>
          <t>Sonet</t>
        </is>
      </c>
      <c r="D765" s="214" t="inlineStr">
        <is>
          <t>Sonet HTK (O)</t>
        </is>
      </c>
      <c r="E765" s="215" t="inlineStr">
        <is>
          <t>Aurora Black Pearl</t>
        </is>
      </c>
    </row>
    <row r="766" ht="15" customHeight="1">
      <c r="A766" s="211" t="n">
        <v>762</v>
      </c>
      <c r="B766" s="212" t="inlineStr">
        <is>
          <t>Kia</t>
        </is>
      </c>
      <c r="C766" s="213" t="inlineStr">
        <is>
          <t>Sonet</t>
        </is>
      </c>
      <c r="D766" s="214" t="inlineStr">
        <is>
          <t>Sonet HTK (O)</t>
        </is>
      </c>
      <c r="E766" s="215" t="inlineStr">
        <is>
          <t>Gravity Grey</t>
        </is>
      </c>
    </row>
    <row r="767" ht="15" customHeight="1">
      <c r="A767" s="211" t="n">
        <v>763</v>
      </c>
      <c r="B767" s="212" t="inlineStr">
        <is>
          <t>Kia</t>
        </is>
      </c>
      <c r="C767" s="213" t="inlineStr">
        <is>
          <t>Sonet</t>
        </is>
      </c>
      <c r="D767" s="214" t="inlineStr">
        <is>
          <t>Sonet HTK (O)</t>
        </is>
      </c>
      <c r="E767" s="215" t="inlineStr">
        <is>
          <t>Imperial Blue</t>
        </is>
      </c>
    </row>
    <row r="768" ht="15" customHeight="1">
      <c r="A768" s="211" t="n">
        <v>764</v>
      </c>
      <c r="B768" s="212" t="inlineStr">
        <is>
          <t>Kia</t>
        </is>
      </c>
      <c r="C768" s="213" t="inlineStr">
        <is>
          <t>Sonet</t>
        </is>
      </c>
      <c r="D768" s="214" t="inlineStr">
        <is>
          <t>Sonet HTK (O)</t>
        </is>
      </c>
      <c r="E768" s="215" t="inlineStr">
        <is>
          <t>Magma Red</t>
        </is>
      </c>
    </row>
    <row r="769" ht="15" customHeight="1">
      <c r="A769" s="211" t="n">
        <v>765</v>
      </c>
      <c r="B769" s="212" t="inlineStr">
        <is>
          <t>Kia</t>
        </is>
      </c>
      <c r="C769" s="213" t="inlineStr">
        <is>
          <t>Sonet</t>
        </is>
      </c>
      <c r="D769" s="214" t="inlineStr">
        <is>
          <t>Sonet HTK (O)</t>
        </is>
      </c>
      <c r="E769" s="215" t="inlineStr">
        <is>
          <t>Pewter Olive</t>
        </is>
      </c>
    </row>
    <row r="770" ht="15" customHeight="1">
      <c r="A770" s="211" t="n">
        <v>766</v>
      </c>
      <c r="B770" s="212" t="inlineStr">
        <is>
          <t>Kia</t>
        </is>
      </c>
      <c r="C770" s="213" t="inlineStr">
        <is>
          <t>Sonet</t>
        </is>
      </c>
      <c r="D770" s="214" t="inlineStr">
        <is>
          <t>Sonet HTK Plus</t>
        </is>
      </c>
      <c r="E770" s="215" t="inlineStr">
        <is>
          <t>Aurora Black Pearl</t>
        </is>
      </c>
    </row>
    <row r="771" ht="15" customHeight="1">
      <c r="A771" s="211" t="n">
        <v>767</v>
      </c>
      <c r="B771" s="212" t="inlineStr">
        <is>
          <t>Kia</t>
        </is>
      </c>
      <c r="C771" s="213" t="inlineStr">
        <is>
          <t>Sonet</t>
        </is>
      </c>
      <c r="D771" s="214" t="inlineStr">
        <is>
          <t>Sonet HTK Plus</t>
        </is>
      </c>
      <c r="E771" s="215" t="inlineStr">
        <is>
          <t>Glacier White Pearl</t>
        </is>
      </c>
    </row>
    <row r="772" ht="15" customHeight="1">
      <c r="A772" s="211" t="n">
        <v>768</v>
      </c>
      <c r="B772" s="212" t="inlineStr">
        <is>
          <t>Kia</t>
        </is>
      </c>
      <c r="C772" s="213" t="inlineStr">
        <is>
          <t>Sonet</t>
        </is>
      </c>
      <c r="D772" s="214" t="inlineStr">
        <is>
          <t>Sonet HTK Plus</t>
        </is>
      </c>
      <c r="E772" s="215" t="inlineStr">
        <is>
          <t>Gravity Grey</t>
        </is>
      </c>
    </row>
    <row r="773" ht="15" customHeight="1">
      <c r="A773" s="211" t="n">
        <v>769</v>
      </c>
      <c r="B773" s="212" t="inlineStr">
        <is>
          <t>Kia</t>
        </is>
      </c>
      <c r="C773" s="213" t="inlineStr">
        <is>
          <t>Sonet</t>
        </is>
      </c>
      <c r="D773" s="214" t="inlineStr">
        <is>
          <t>Sonet HTK Plus</t>
        </is>
      </c>
      <c r="E773" s="215" t="inlineStr">
        <is>
          <t>Imperial Blue</t>
        </is>
      </c>
    </row>
    <row r="774" ht="15" customHeight="1">
      <c r="A774" s="211" t="n">
        <v>770</v>
      </c>
      <c r="B774" s="212" t="inlineStr">
        <is>
          <t>Kia</t>
        </is>
      </c>
      <c r="C774" s="213" t="inlineStr">
        <is>
          <t>Sonet</t>
        </is>
      </c>
      <c r="D774" s="214" t="inlineStr">
        <is>
          <t>Sonet HTK Plus</t>
        </is>
      </c>
      <c r="E774" s="215" t="inlineStr">
        <is>
          <t>Magma Red</t>
        </is>
      </c>
    </row>
    <row r="775" ht="15" customHeight="1">
      <c r="A775" s="211" t="n">
        <v>771</v>
      </c>
      <c r="B775" s="212" t="inlineStr">
        <is>
          <t>Kia</t>
        </is>
      </c>
      <c r="C775" s="213" t="inlineStr">
        <is>
          <t>Sonet</t>
        </is>
      </c>
      <c r="D775" s="214" t="inlineStr">
        <is>
          <t>Sonet HTK Plus</t>
        </is>
      </c>
      <c r="E775" s="215" t="inlineStr">
        <is>
          <t>Pewter Olive</t>
        </is>
      </c>
    </row>
    <row r="776" ht="15" customHeight="1">
      <c r="A776" s="211" t="n">
        <v>772</v>
      </c>
      <c r="B776" s="212" t="inlineStr">
        <is>
          <t>Kia</t>
        </is>
      </c>
      <c r="C776" s="213" t="inlineStr">
        <is>
          <t>Sonet</t>
        </is>
      </c>
      <c r="D776" s="214" t="inlineStr">
        <is>
          <t>Sonet HTK Plus (O)</t>
        </is>
      </c>
      <c r="E776" s="215" t="inlineStr">
        <is>
          <t>Aurora Black Pearl</t>
        </is>
      </c>
    </row>
    <row r="777" ht="15" customHeight="1">
      <c r="A777" s="211" t="n">
        <v>773</v>
      </c>
      <c r="B777" s="212" t="inlineStr">
        <is>
          <t>Kia</t>
        </is>
      </c>
      <c r="C777" s="213" t="inlineStr">
        <is>
          <t>Sonet</t>
        </is>
      </c>
      <c r="D777" s="214" t="inlineStr">
        <is>
          <t>Sonet HTK Plus (O)</t>
        </is>
      </c>
      <c r="E777" s="215" t="inlineStr">
        <is>
          <t>Glacier White Pearl</t>
        </is>
      </c>
    </row>
    <row r="778" ht="15" customHeight="1">
      <c r="A778" s="211" t="n">
        <v>774</v>
      </c>
      <c r="B778" s="212" t="inlineStr">
        <is>
          <t>Kia</t>
        </is>
      </c>
      <c r="C778" s="213" t="inlineStr">
        <is>
          <t>Sonet</t>
        </is>
      </c>
      <c r="D778" s="214" t="inlineStr">
        <is>
          <t>Sonet HTK Plus (O)</t>
        </is>
      </c>
      <c r="E778" s="215" t="inlineStr">
        <is>
          <t>Gravity Grey</t>
        </is>
      </c>
    </row>
    <row r="779" ht="15" customHeight="1">
      <c r="A779" s="211" t="n">
        <v>775</v>
      </c>
      <c r="B779" s="212" t="inlineStr">
        <is>
          <t>Kia</t>
        </is>
      </c>
      <c r="C779" s="213" t="inlineStr">
        <is>
          <t>Sonet</t>
        </is>
      </c>
      <c r="D779" s="214" t="inlineStr">
        <is>
          <t>Sonet HTK Plus (O)</t>
        </is>
      </c>
      <c r="E779" s="215" t="inlineStr">
        <is>
          <t>Imperial Blue</t>
        </is>
      </c>
    </row>
    <row r="780" ht="15" customHeight="1">
      <c r="A780" s="211" t="n">
        <v>776</v>
      </c>
      <c r="B780" s="212" t="inlineStr">
        <is>
          <t>Kia</t>
        </is>
      </c>
      <c r="C780" s="213" t="inlineStr">
        <is>
          <t>Sonet</t>
        </is>
      </c>
      <c r="D780" s="214" t="inlineStr">
        <is>
          <t>Sonet HTK Plus (O)</t>
        </is>
      </c>
      <c r="E780" s="215" t="inlineStr">
        <is>
          <t>Magma Red</t>
        </is>
      </c>
    </row>
    <row r="781" ht="15" customHeight="1">
      <c r="A781" s="211" t="n">
        <v>777</v>
      </c>
      <c r="B781" s="212" t="inlineStr">
        <is>
          <t>Kia</t>
        </is>
      </c>
      <c r="C781" s="213" t="inlineStr">
        <is>
          <t>Sonet</t>
        </is>
      </c>
      <c r="D781" s="214" t="inlineStr">
        <is>
          <t>Sonet HTK Plus (O)</t>
        </is>
      </c>
      <c r="E781" s="215" t="inlineStr">
        <is>
          <t>Pewter Olive</t>
        </is>
      </c>
    </row>
    <row r="782" ht="15" customHeight="1">
      <c r="A782" s="211" t="n">
        <v>778</v>
      </c>
      <c r="B782" s="212" t="inlineStr">
        <is>
          <t>Kia</t>
        </is>
      </c>
      <c r="C782" s="213" t="inlineStr">
        <is>
          <t>Sonet</t>
        </is>
      </c>
      <c r="D782" s="214" t="inlineStr">
        <is>
          <t>Sonet HTX</t>
        </is>
      </c>
      <c r="E782" s="215" t="inlineStr">
        <is>
          <t>Aurora Black Pearl</t>
        </is>
      </c>
    </row>
    <row r="783" ht="15" customHeight="1">
      <c r="A783" s="211" t="n">
        <v>779</v>
      </c>
      <c r="B783" s="212" t="inlineStr">
        <is>
          <t>Kia</t>
        </is>
      </c>
      <c r="C783" s="213" t="inlineStr">
        <is>
          <t>Sonet</t>
        </is>
      </c>
      <c r="D783" s="214" t="inlineStr">
        <is>
          <t>Sonet HTX</t>
        </is>
      </c>
      <c r="E783" s="215" t="inlineStr">
        <is>
          <t>Glacier White Pearl</t>
        </is>
      </c>
    </row>
    <row r="784" ht="15" customHeight="1">
      <c r="A784" s="211" t="n">
        <v>780</v>
      </c>
      <c r="B784" s="212" t="inlineStr">
        <is>
          <t>Kia</t>
        </is>
      </c>
      <c r="C784" s="213" t="inlineStr">
        <is>
          <t>Sonet</t>
        </is>
      </c>
      <c r="D784" s="214" t="inlineStr">
        <is>
          <t>Sonet HTX</t>
        </is>
      </c>
      <c r="E784" s="215" t="inlineStr">
        <is>
          <t>Gravity Grey</t>
        </is>
      </c>
    </row>
    <row r="785" ht="15" customHeight="1">
      <c r="A785" s="211" t="n">
        <v>781</v>
      </c>
      <c r="B785" s="212" t="inlineStr">
        <is>
          <t>Kia</t>
        </is>
      </c>
      <c r="C785" s="213" t="inlineStr">
        <is>
          <t>Sonet</t>
        </is>
      </c>
      <c r="D785" s="214" t="inlineStr">
        <is>
          <t>Sonet HTX</t>
        </is>
      </c>
      <c r="E785" s="215" t="inlineStr">
        <is>
          <t>Imperial Blue</t>
        </is>
      </c>
    </row>
    <row r="786" ht="15" customHeight="1">
      <c r="A786" s="211" t="n">
        <v>782</v>
      </c>
      <c r="B786" s="212" t="inlineStr">
        <is>
          <t>Kia</t>
        </is>
      </c>
      <c r="C786" s="213" t="inlineStr">
        <is>
          <t>Sonet</t>
        </is>
      </c>
      <c r="D786" s="214" t="inlineStr">
        <is>
          <t>Sonet HTX</t>
        </is>
      </c>
      <c r="E786" s="215" t="inlineStr">
        <is>
          <t>Magma Red</t>
        </is>
      </c>
    </row>
    <row r="787" ht="15" customHeight="1">
      <c r="A787" s="211" t="n">
        <v>783</v>
      </c>
      <c r="B787" s="212" t="inlineStr">
        <is>
          <t>Kia</t>
        </is>
      </c>
      <c r="C787" s="213" t="inlineStr">
        <is>
          <t>Sonet</t>
        </is>
      </c>
      <c r="D787" s="214" t="inlineStr">
        <is>
          <t>Sonet HTX</t>
        </is>
      </c>
      <c r="E787" s="215" t="inlineStr">
        <is>
          <t>Pewter Olive</t>
        </is>
      </c>
    </row>
    <row r="788" ht="15" customHeight="1">
      <c r="A788" s="211" t="n">
        <v>784</v>
      </c>
      <c r="B788" s="212" t="inlineStr">
        <is>
          <t>Kia</t>
        </is>
      </c>
      <c r="C788" s="213" t="inlineStr">
        <is>
          <t>Sonet</t>
        </is>
      </c>
      <c r="D788" s="214" t="inlineStr">
        <is>
          <t>Sonet X Line</t>
        </is>
      </c>
      <c r="E788" s="215" t="inlineStr">
        <is>
          <t>Matte Graphite</t>
        </is>
      </c>
    </row>
    <row r="789" ht="15" customHeight="1">
      <c r="A789" s="211" t="n">
        <v>785</v>
      </c>
      <c r="B789" s="212" t="inlineStr">
        <is>
          <t>Kia</t>
        </is>
      </c>
      <c r="C789" s="213" t="inlineStr">
        <is>
          <t>Syros</t>
        </is>
      </c>
      <c r="D789" s="214" t="inlineStr">
        <is>
          <t>Syros HTE</t>
        </is>
      </c>
      <c r="E789" s="215" t="inlineStr">
        <is>
          <t>Aurora Black Pearl</t>
        </is>
      </c>
    </row>
    <row r="790" ht="15" customHeight="1">
      <c r="A790" s="211" t="n">
        <v>786</v>
      </c>
      <c r="B790" s="212" t="inlineStr">
        <is>
          <t>Kia</t>
        </is>
      </c>
      <c r="C790" s="213" t="inlineStr">
        <is>
          <t>Syros</t>
        </is>
      </c>
      <c r="D790" s="214" t="inlineStr">
        <is>
          <t>Syros HTE</t>
        </is>
      </c>
      <c r="E790" s="215" t="inlineStr">
        <is>
          <t>Frost Blue</t>
        </is>
      </c>
    </row>
    <row r="791" ht="15" customHeight="1">
      <c r="A791" s="211" t="n">
        <v>787</v>
      </c>
      <c r="B791" s="212" t="inlineStr">
        <is>
          <t>Kia</t>
        </is>
      </c>
      <c r="C791" s="213" t="inlineStr">
        <is>
          <t>Syros</t>
        </is>
      </c>
      <c r="D791" s="214" t="inlineStr">
        <is>
          <t>Syros HTE</t>
        </is>
      </c>
      <c r="E791" s="215" t="inlineStr">
        <is>
          <t>Glacier White Pearl</t>
        </is>
      </c>
    </row>
    <row r="792" ht="15" customHeight="1">
      <c r="A792" s="211" t="n">
        <v>788</v>
      </c>
      <c r="B792" s="212" t="inlineStr">
        <is>
          <t>Kia</t>
        </is>
      </c>
      <c r="C792" s="213" t="inlineStr">
        <is>
          <t>Syros</t>
        </is>
      </c>
      <c r="D792" s="214" t="inlineStr">
        <is>
          <t>Syros HTE</t>
        </is>
      </c>
      <c r="E792" s="215" t="inlineStr">
        <is>
          <t>Gravity Grey</t>
        </is>
      </c>
    </row>
    <row r="793" ht="15" customHeight="1">
      <c r="A793" s="211" t="n">
        <v>789</v>
      </c>
      <c r="B793" s="212" t="inlineStr">
        <is>
          <t>Kia</t>
        </is>
      </c>
      <c r="C793" s="213" t="inlineStr">
        <is>
          <t>Syros</t>
        </is>
      </c>
      <c r="D793" s="214" t="inlineStr">
        <is>
          <t>Syros HTE</t>
        </is>
      </c>
      <c r="E793" s="215" t="inlineStr">
        <is>
          <t>Imperial Blue</t>
        </is>
      </c>
    </row>
    <row r="794" ht="15" customHeight="1">
      <c r="A794" s="211" t="n">
        <v>790</v>
      </c>
      <c r="B794" s="212" t="inlineStr">
        <is>
          <t>Kia</t>
        </is>
      </c>
      <c r="C794" s="213" t="inlineStr">
        <is>
          <t>Syros</t>
        </is>
      </c>
      <c r="D794" s="214" t="inlineStr">
        <is>
          <t>Syros HTE</t>
        </is>
      </c>
      <c r="E794" s="215" t="inlineStr">
        <is>
          <t>Intense Red</t>
        </is>
      </c>
    </row>
    <row r="795" ht="15" customHeight="1">
      <c r="A795" s="211" t="n">
        <v>791</v>
      </c>
      <c r="B795" s="212" t="inlineStr">
        <is>
          <t>Kia</t>
        </is>
      </c>
      <c r="C795" s="213" t="inlineStr">
        <is>
          <t>Syros</t>
        </is>
      </c>
      <c r="D795" s="214" t="inlineStr">
        <is>
          <t>Syros HTE</t>
        </is>
      </c>
      <c r="E795" s="215" t="inlineStr">
        <is>
          <t>Ivory Silver Gloss</t>
        </is>
      </c>
    </row>
    <row r="796" ht="15" customHeight="1">
      <c r="A796" s="211" t="n">
        <v>792</v>
      </c>
      <c r="B796" s="212" t="inlineStr">
        <is>
          <t>Kia</t>
        </is>
      </c>
      <c r="C796" s="213" t="inlineStr">
        <is>
          <t>Syros</t>
        </is>
      </c>
      <c r="D796" s="214" t="inlineStr">
        <is>
          <t>Syros HTE</t>
        </is>
      </c>
      <c r="E796" s="215" t="inlineStr">
        <is>
          <t>Ivory Silver Matte</t>
        </is>
      </c>
    </row>
    <row r="797" ht="15" customHeight="1">
      <c r="A797" s="211" t="n">
        <v>793</v>
      </c>
      <c r="B797" s="212" t="inlineStr">
        <is>
          <t>Kia</t>
        </is>
      </c>
      <c r="C797" s="213" t="inlineStr">
        <is>
          <t>Syros</t>
        </is>
      </c>
      <c r="D797" s="214" t="inlineStr">
        <is>
          <t>Syros HTE</t>
        </is>
      </c>
      <c r="E797" s="215" t="inlineStr">
        <is>
          <t>Pewter Olive</t>
        </is>
      </c>
    </row>
    <row r="798" ht="15" customHeight="1">
      <c r="A798" s="211" t="n">
        <v>794</v>
      </c>
      <c r="B798" s="212" t="inlineStr">
        <is>
          <t>Kia</t>
        </is>
      </c>
      <c r="C798" s="213" t="inlineStr">
        <is>
          <t>Syros</t>
        </is>
      </c>
      <c r="D798" s="214" t="inlineStr">
        <is>
          <t>Syros HTE (O)</t>
        </is>
      </c>
      <c r="E798" s="215" t="inlineStr">
        <is>
          <t>Aurora Black Pearl</t>
        </is>
      </c>
    </row>
    <row r="799" ht="15" customHeight="1">
      <c r="A799" s="211" t="n">
        <v>795</v>
      </c>
      <c r="B799" s="212" t="inlineStr">
        <is>
          <t>Kia</t>
        </is>
      </c>
      <c r="C799" s="213" t="inlineStr">
        <is>
          <t>Syros</t>
        </is>
      </c>
      <c r="D799" s="214" t="inlineStr">
        <is>
          <t>Syros HTE (O)</t>
        </is>
      </c>
      <c r="E799" s="215" t="inlineStr">
        <is>
          <t>Frost Blue</t>
        </is>
      </c>
    </row>
    <row r="800" ht="15" customHeight="1">
      <c r="A800" s="211" t="n">
        <v>796</v>
      </c>
      <c r="B800" s="212" t="inlineStr">
        <is>
          <t>Kia</t>
        </is>
      </c>
      <c r="C800" s="213" t="inlineStr">
        <is>
          <t>Syros</t>
        </is>
      </c>
      <c r="D800" s="214" t="inlineStr">
        <is>
          <t>Syros HTE (O)</t>
        </is>
      </c>
      <c r="E800" s="215" t="inlineStr">
        <is>
          <t>Glacier White Pearl</t>
        </is>
      </c>
    </row>
    <row r="801" ht="15" customHeight="1">
      <c r="A801" s="211" t="n">
        <v>797</v>
      </c>
      <c r="B801" s="212" t="inlineStr">
        <is>
          <t>Kia</t>
        </is>
      </c>
      <c r="C801" s="213" t="inlineStr">
        <is>
          <t>Syros</t>
        </is>
      </c>
      <c r="D801" s="214" t="inlineStr">
        <is>
          <t>Syros HTE (O)</t>
        </is>
      </c>
      <c r="E801" s="215" t="inlineStr">
        <is>
          <t>Gravity Grey</t>
        </is>
      </c>
    </row>
    <row r="802" ht="15" customHeight="1">
      <c r="A802" s="211" t="n">
        <v>798</v>
      </c>
      <c r="B802" s="212" t="inlineStr">
        <is>
          <t>Kia</t>
        </is>
      </c>
      <c r="C802" s="213" t="inlineStr">
        <is>
          <t>Syros</t>
        </is>
      </c>
      <c r="D802" s="214" t="inlineStr">
        <is>
          <t>Syros HTE (O)</t>
        </is>
      </c>
      <c r="E802" s="215" t="inlineStr">
        <is>
          <t>Imperial Blue</t>
        </is>
      </c>
    </row>
    <row r="803" ht="15" customHeight="1">
      <c r="A803" s="211" t="n">
        <v>799</v>
      </c>
      <c r="B803" s="212" t="inlineStr">
        <is>
          <t>Kia</t>
        </is>
      </c>
      <c r="C803" s="213" t="inlineStr">
        <is>
          <t>Syros</t>
        </is>
      </c>
      <c r="D803" s="214" t="inlineStr">
        <is>
          <t>Syros HTE (O)</t>
        </is>
      </c>
      <c r="E803" s="215" t="inlineStr">
        <is>
          <t>Intense Red</t>
        </is>
      </c>
    </row>
    <row r="804" ht="15" customHeight="1">
      <c r="A804" s="211" t="n">
        <v>800</v>
      </c>
      <c r="B804" s="212" t="inlineStr">
        <is>
          <t>Kia</t>
        </is>
      </c>
      <c r="C804" s="213" t="inlineStr">
        <is>
          <t>Syros</t>
        </is>
      </c>
      <c r="D804" s="214" t="inlineStr">
        <is>
          <t>Syros HTE (O)</t>
        </is>
      </c>
      <c r="E804" s="215" t="inlineStr">
        <is>
          <t>Ivory Silver Gloss</t>
        </is>
      </c>
    </row>
    <row r="805" ht="15" customHeight="1">
      <c r="A805" s="211" t="n">
        <v>801</v>
      </c>
      <c r="B805" s="212" t="inlineStr">
        <is>
          <t>Kia</t>
        </is>
      </c>
      <c r="C805" s="213" t="inlineStr">
        <is>
          <t>Syros</t>
        </is>
      </c>
      <c r="D805" s="214" t="inlineStr">
        <is>
          <t>Syros HTE (O)</t>
        </is>
      </c>
      <c r="E805" s="215" t="inlineStr">
        <is>
          <t>Ivory Silver Matte</t>
        </is>
      </c>
    </row>
    <row r="806" ht="15" customHeight="1">
      <c r="A806" s="211" t="n">
        <v>802</v>
      </c>
      <c r="B806" s="212" t="inlineStr">
        <is>
          <t>Kia</t>
        </is>
      </c>
      <c r="C806" s="213" t="inlineStr">
        <is>
          <t>Syros</t>
        </is>
      </c>
      <c r="D806" s="214" t="inlineStr">
        <is>
          <t>Syros HTE (O)</t>
        </is>
      </c>
      <c r="E806" s="215" t="inlineStr">
        <is>
          <t>Pewter Olive</t>
        </is>
      </c>
    </row>
    <row r="807" ht="15" customHeight="1">
      <c r="A807" s="211" t="n">
        <v>803</v>
      </c>
      <c r="B807" s="212" t="inlineStr">
        <is>
          <t>Kia</t>
        </is>
      </c>
      <c r="C807" s="213" t="inlineStr">
        <is>
          <t>Syros</t>
        </is>
      </c>
      <c r="D807" s="214" t="inlineStr">
        <is>
          <t>Syros HTK EX</t>
        </is>
      </c>
      <c r="E807" s="215" t="inlineStr">
        <is>
          <t>Aurora Black Pearl</t>
        </is>
      </c>
    </row>
    <row r="808" ht="15" customHeight="1">
      <c r="A808" s="211" t="n">
        <v>804</v>
      </c>
      <c r="B808" s="212" t="inlineStr">
        <is>
          <t>Kia</t>
        </is>
      </c>
      <c r="C808" s="213" t="inlineStr">
        <is>
          <t>Syros</t>
        </is>
      </c>
      <c r="D808" s="214" t="inlineStr">
        <is>
          <t>Syros HTK EX</t>
        </is>
      </c>
      <c r="E808" s="215" t="inlineStr">
        <is>
          <t>Frost Blue</t>
        </is>
      </c>
    </row>
    <row r="809" ht="15" customHeight="1">
      <c r="A809" s="211" t="n">
        <v>805</v>
      </c>
      <c r="B809" s="212" t="inlineStr">
        <is>
          <t>Kia</t>
        </is>
      </c>
      <c r="C809" s="213" t="inlineStr">
        <is>
          <t>Syros</t>
        </is>
      </c>
      <c r="D809" s="214" t="inlineStr">
        <is>
          <t>Syros HTK EX</t>
        </is>
      </c>
      <c r="E809" s="215" t="inlineStr">
        <is>
          <t>Glacier White Pearl</t>
        </is>
      </c>
    </row>
    <row r="810" ht="15" customHeight="1">
      <c r="A810" s="211" t="n">
        <v>806</v>
      </c>
      <c r="B810" s="212" t="inlineStr">
        <is>
          <t>Kia</t>
        </is>
      </c>
      <c r="C810" s="213" t="inlineStr">
        <is>
          <t>Syros</t>
        </is>
      </c>
      <c r="D810" s="214" t="inlineStr">
        <is>
          <t>Syros HTK EX</t>
        </is>
      </c>
      <c r="E810" s="215" t="inlineStr">
        <is>
          <t>Gravity Grey</t>
        </is>
      </c>
    </row>
    <row r="811" ht="15" customHeight="1">
      <c r="A811" s="211" t="n">
        <v>807</v>
      </c>
      <c r="B811" s="212" t="inlineStr">
        <is>
          <t>Kia</t>
        </is>
      </c>
      <c r="C811" s="213" t="inlineStr">
        <is>
          <t>Syros</t>
        </is>
      </c>
      <c r="D811" s="214" t="inlineStr">
        <is>
          <t>Syros HTK EX</t>
        </is>
      </c>
      <c r="E811" s="215" t="inlineStr">
        <is>
          <t>Imperial Blue</t>
        </is>
      </c>
    </row>
    <row r="812" ht="15" customHeight="1">
      <c r="A812" s="211" t="n">
        <v>808</v>
      </c>
      <c r="B812" s="212" t="inlineStr">
        <is>
          <t>Kia</t>
        </is>
      </c>
      <c r="C812" s="213" t="inlineStr">
        <is>
          <t>Syros</t>
        </is>
      </c>
      <c r="D812" s="214" t="inlineStr">
        <is>
          <t>Syros HTK EX</t>
        </is>
      </c>
      <c r="E812" s="215" t="inlineStr">
        <is>
          <t>Intense Red</t>
        </is>
      </c>
    </row>
    <row r="813" ht="15" customHeight="1">
      <c r="A813" s="211" t="n">
        <v>809</v>
      </c>
      <c r="B813" s="212" t="inlineStr">
        <is>
          <t>Kia</t>
        </is>
      </c>
      <c r="C813" s="213" t="inlineStr">
        <is>
          <t>Syros</t>
        </is>
      </c>
      <c r="D813" s="214" t="inlineStr">
        <is>
          <t>Syros HTK EX</t>
        </is>
      </c>
      <c r="E813" s="215" t="inlineStr">
        <is>
          <t>Ivory Silver Gloss</t>
        </is>
      </c>
    </row>
    <row r="814" ht="15" customHeight="1">
      <c r="A814" s="211" t="n">
        <v>810</v>
      </c>
      <c r="B814" s="212" t="inlineStr">
        <is>
          <t>Kia</t>
        </is>
      </c>
      <c r="C814" s="213" t="inlineStr">
        <is>
          <t>Syros</t>
        </is>
      </c>
      <c r="D814" s="214" t="inlineStr">
        <is>
          <t>Syros HTK EX</t>
        </is>
      </c>
      <c r="E814" s="215" t="inlineStr">
        <is>
          <t>Ivory Silver Matte</t>
        </is>
      </c>
    </row>
    <row r="815" ht="15" customHeight="1">
      <c r="A815" s="211" t="n">
        <v>811</v>
      </c>
      <c r="B815" s="212" t="inlineStr">
        <is>
          <t>Kia</t>
        </is>
      </c>
      <c r="C815" s="213" t="inlineStr">
        <is>
          <t>Syros</t>
        </is>
      </c>
      <c r="D815" s="214" t="inlineStr">
        <is>
          <t>Syros HTK EX</t>
        </is>
      </c>
      <c r="E815" s="215" t="inlineStr">
        <is>
          <t>Pewter Olive</t>
        </is>
      </c>
    </row>
    <row r="816" ht="15" customHeight="1">
      <c r="A816" s="211" t="n">
        <v>812</v>
      </c>
      <c r="B816" s="212" t="inlineStr">
        <is>
          <t>Kia</t>
        </is>
      </c>
      <c r="C816" s="213" t="inlineStr">
        <is>
          <t>Syros</t>
        </is>
      </c>
      <c r="D816" s="214" t="inlineStr">
        <is>
          <t>Syros HTK Plus</t>
        </is>
      </c>
      <c r="E816" s="215" t="inlineStr">
        <is>
          <t>Aurora Black Pearl</t>
        </is>
      </c>
    </row>
    <row r="817" ht="15" customHeight="1">
      <c r="A817" s="211" t="n">
        <v>813</v>
      </c>
      <c r="B817" s="212" t="inlineStr">
        <is>
          <t>Kia</t>
        </is>
      </c>
      <c r="C817" s="213" t="inlineStr">
        <is>
          <t>Syros</t>
        </is>
      </c>
      <c r="D817" s="214" t="inlineStr">
        <is>
          <t>Syros HTK Plus</t>
        </is>
      </c>
      <c r="E817" s="215" t="inlineStr">
        <is>
          <t>Frost Blue</t>
        </is>
      </c>
    </row>
    <row r="818" ht="15" customHeight="1">
      <c r="A818" s="211" t="n">
        <v>814</v>
      </c>
      <c r="B818" s="212" t="inlineStr">
        <is>
          <t>Kia</t>
        </is>
      </c>
      <c r="C818" s="213" t="inlineStr">
        <is>
          <t>Syros</t>
        </is>
      </c>
      <c r="D818" s="214" t="inlineStr">
        <is>
          <t>Syros HTK Plus</t>
        </is>
      </c>
      <c r="E818" s="215" t="inlineStr">
        <is>
          <t>Glacier White Pearl</t>
        </is>
      </c>
    </row>
    <row r="819" ht="15" customHeight="1">
      <c r="A819" s="211" t="n">
        <v>815</v>
      </c>
      <c r="B819" s="212" t="inlineStr">
        <is>
          <t>Kia</t>
        </is>
      </c>
      <c r="C819" s="213" t="inlineStr">
        <is>
          <t>Syros</t>
        </is>
      </c>
      <c r="D819" s="214" t="inlineStr">
        <is>
          <t>Syros HTK Plus</t>
        </is>
      </c>
      <c r="E819" s="215" t="inlineStr">
        <is>
          <t>Gravity Grey</t>
        </is>
      </c>
    </row>
    <row r="820" ht="15" customHeight="1">
      <c r="A820" s="211" t="n">
        <v>816</v>
      </c>
      <c r="B820" s="212" t="inlineStr">
        <is>
          <t>Kia</t>
        </is>
      </c>
      <c r="C820" s="213" t="inlineStr">
        <is>
          <t>Syros</t>
        </is>
      </c>
      <c r="D820" s="214" t="inlineStr">
        <is>
          <t>Syros HTK Plus</t>
        </is>
      </c>
      <c r="E820" s="215" t="inlineStr">
        <is>
          <t>Imperial Blue</t>
        </is>
      </c>
    </row>
    <row r="821" ht="15" customHeight="1">
      <c r="A821" s="211" t="n">
        <v>817</v>
      </c>
      <c r="B821" s="212" t="inlineStr">
        <is>
          <t>Kia</t>
        </is>
      </c>
      <c r="C821" s="213" t="inlineStr">
        <is>
          <t>Syros</t>
        </is>
      </c>
      <c r="D821" s="214" t="inlineStr">
        <is>
          <t>Syros HTK Plus</t>
        </is>
      </c>
      <c r="E821" s="215" t="inlineStr">
        <is>
          <t>Intense Red</t>
        </is>
      </c>
    </row>
    <row r="822" ht="15" customHeight="1">
      <c r="A822" s="211" t="n">
        <v>818</v>
      </c>
      <c r="B822" s="212" t="inlineStr">
        <is>
          <t>Kia</t>
        </is>
      </c>
      <c r="C822" s="213" t="inlineStr">
        <is>
          <t>Syros</t>
        </is>
      </c>
      <c r="D822" s="214" t="inlineStr">
        <is>
          <t>Syros HTK Plus</t>
        </is>
      </c>
      <c r="E822" s="215" t="inlineStr">
        <is>
          <t>Ivory Silver Gloss</t>
        </is>
      </c>
    </row>
    <row r="823" ht="15" customHeight="1">
      <c r="A823" s="211" t="n">
        <v>819</v>
      </c>
      <c r="B823" s="212" t="inlineStr">
        <is>
          <t>Kia</t>
        </is>
      </c>
      <c r="C823" s="213" t="inlineStr">
        <is>
          <t>Syros</t>
        </is>
      </c>
      <c r="D823" s="214" t="inlineStr">
        <is>
          <t>Syros HTK Plus</t>
        </is>
      </c>
      <c r="E823" s="215" t="inlineStr">
        <is>
          <t>Ivory Silver Matte</t>
        </is>
      </c>
    </row>
    <row r="824" ht="15" customHeight="1">
      <c r="A824" s="211" t="n">
        <v>820</v>
      </c>
      <c r="B824" s="212" t="inlineStr">
        <is>
          <t>Kia</t>
        </is>
      </c>
      <c r="C824" s="213" t="inlineStr">
        <is>
          <t>Syros</t>
        </is>
      </c>
      <c r="D824" s="214" t="inlineStr">
        <is>
          <t>Syros HTK Plus</t>
        </is>
      </c>
      <c r="E824" s="215" t="inlineStr">
        <is>
          <t>Pewter Olive</t>
        </is>
      </c>
    </row>
    <row r="825" ht="15" customHeight="1">
      <c r="A825" s="211" t="n">
        <v>821</v>
      </c>
      <c r="B825" s="212" t="inlineStr">
        <is>
          <t>Kia</t>
        </is>
      </c>
      <c r="C825" s="213" t="inlineStr">
        <is>
          <t>Syros</t>
        </is>
      </c>
      <c r="D825" s="214" t="inlineStr">
        <is>
          <t>Syros HTK Plus (O)</t>
        </is>
      </c>
      <c r="E825" s="215" t="inlineStr">
        <is>
          <t>Aurora Black Pearl</t>
        </is>
      </c>
    </row>
    <row r="826" ht="15" customHeight="1">
      <c r="A826" s="211" t="n">
        <v>822</v>
      </c>
      <c r="B826" s="212" t="inlineStr">
        <is>
          <t>Kia</t>
        </is>
      </c>
      <c r="C826" s="213" t="inlineStr">
        <is>
          <t>Syros</t>
        </is>
      </c>
      <c r="D826" s="214" t="inlineStr">
        <is>
          <t>Syros HTK Plus (O)</t>
        </is>
      </c>
      <c r="E826" s="215" t="inlineStr">
        <is>
          <t>Frost Blue</t>
        </is>
      </c>
    </row>
    <row r="827" ht="15" customHeight="1">
      <c r="A827" s="211" t="n">
        <v>823</v>
      </c>
      <c r="B827" s="212" t="inlineStr">
        <is>
          <t>Kia</t>
        </is>
      </c>
      <c r="C827" s="213" t="inlineStr">
        <is>
          <t>Syros</t>
        </is>
      </c>
      <c r="D827" s="214" t="inlineStr">
        <is>
          <t>Syros HTK Plus (O)</t>
        </is>
      </c>
      <c r="E827" s="215" t="inlineStr">
        <is>
          <t>Glacier White Pearl</t>
        </is>
      </c>
    </row>
    <row r="828" ht="15" customHeight="1">
      <c r="A828" s="211" t="n">
        <v>824</v>
      </c>
      <c r="B828" s="212" t="inlineStr">
        <is>
          <t>Kia</t>
        </is>
      </c>
      <c r="C828" s="213" t="inlineStr">
        <is>
          <t>Syros</t>
        </is>
      </c>
      <c r="D828" s="214" t="inlineStr">
        <is>
          <t>Syros HTK Plus (O)</t>
        </is>
      </c>
      <c r="E828" s="215" t="inlineStr">
        <is>
          <t>Gravity Grey</t>
        </is>
      </c>
    </row>
    <row r="829" ht="15" customHeight="1">
      <c r="A829" s="211" t="n">
        <v>825</v>
      </c>
      <c r="B829" s="212" t="inlineStr">
        <is>
          <t>Kia</t>
        </is>
      </c>
      <c r="C829" s="213" t="inlineStr">
        <is>
          <t>Syros</t>
        </is>
      </c>
      <c r="D829" s="214" t="inlineStr">
        <is>
          <t>Syros HTK Plus (O)</t>
        </is>
      </c>
      <c r="E829" s="215" t="inlineStr">
        <is>
          <t>Imperial Blue</t>
        </is>
      </c>
    </row>
    <row r="830" ht="15" customHeight="1">
      <c r="A830" s="211" t="n">
        <v>826</v>
      </c>
      <c r="B830" s="212" t="inlineStr">
        <is>
          <t>Kia</t>
        </is>
      </c>
      <c r="C830" s="213" t="inlineStr">
        <is>
          <t>Syros</t>
        </is>
      </c>
      <c r="D830" s="214" t="inlineStr">
        <is>
          <t>Syros HTK Plus (O)</t>
        </is>
      </c>
      <c r="E830" s="215" t="inlineStr">
        <is>
          <t>Intense Red</t>
        </is>
      </c>
    </row>
    <row r="831" ht="15" customHeight="1">
      <c r="A831" s="211" t="n">
        <v>827</v>
      </c>
      <c r="B831" s="212" t="inlineStr">
        <is>
          <t>Kia</t>
        </is>
      </c>
      <c r="C831" s="213" t="inlineStr">
        <is>
          <t>Syros</t>
        </is>
      </c>
      <c r="D831" s="214" t="inlineStr">
        <is>
          <t>Syros HTK Plus (O)</t>
        </is>
      </c>
      <c r="E831" s="215" t="inlineStr">
        <is>
          <t>Ivory Silver Gloss</t>
        </is>
      </c>
    </row>
    <row r="832" ht="15" customHeight="1">
      <c r="A832" s="211" t="n">
        <v>828</v>
      </c>
      <c r="B832" s="212" t="inlineStr">
        <is>
          <t>Kia</t>
        </is>
      </c>
      <c r="C832" s="213" t="inlineStr">
        <is>
          <t>Syros</t>
        </is>
      </c>
      <c r="D832" s="214" t="inlineStr">
        <is>
          <t>Syros HTK Plus (O)</t>
        </is>
      </c>
      <c r="E832" s="215" t="inlineStr">
        <is>
          <t>Ivory Silver Matte</t>
        </is>
      </c>
    </row>
    <row r="833" ht="15" customHeight="1">
      <c r="A833" s="211" t="n">
        <v>829</v>
      </c>
      <c r="B833" s="212" t="inlineStr">
        <is>
          <t>Kia</t>
        </is>
      </c>
      <c r="C833" s="213" t="inlineStr">
        <is>
          <t>Syros</t>
        </is>
      </c>
      <c r="D833" s="214" t="inlineStr">
        <is>
          <t>Syros HTK Plus (O)</t>
        </is>
      </c>
      <c r="E833" s="215" t="inlineStr">
        <is>
          <t>Pewter Olive</t>
        </is>
      </c>
    </row>
    <row r="834" ht="15" customHeight="1">
      <c r="A834" s="211" t="n">
        <v>830</v>
      </c>
      <c r="B834" s="212" t="inlineStr">
        <is>
          <t>Kia</t>
        </is>
      </c>
      <c r="C834" s="213" t="inlineStr">
        <is>
          <t>Syros</t>
        </is>
      </c>
      <c r="D834" s="214" t="inlineStr">
        <is>
          <t>Syros HTX</t>
        </is>
      </c>
      <c r="E834" s="215" t="inlineStr">
        <is>
          <t>Aurora Black Pearl</t>
        </is>
      </c>
    </row>
    <row r="835" ht="15" customHeight="1">
      <c r="A835" s="211" t="n">
        <v>831</v>
      </c>
      <c r="B835" s="212" t="inlineStr">
        <is>
          <t>Kia</t>
        </is>
      </c>
      <c r="C835" s="213" t="inlineStr">
        <is>
          <t>Syros</t>
        </is>
      </c>
      <c r="D835" s="214" t="inlineStr">
        <is>
          <t>Syros HTX</t>
        </is>
      </c>
      <c r="E835" s="215" t="inlineStr">
        <is>
          <t>Frost Blue</t>
        </is>
      </c>
    </row>
    <row r="836" ht="15" customHeight="1">
      <c r="A836" s="211" t="n">
        <v>832</v>
      </c>
      <c r="B836" s="212" t="inlineStr">
        <is>
          <t>Kia</t>
        </is>
      </c>
      <c r="C836" s="213" t="inlineStr">
        <is>
          <t>Syros</t>
        </is>
      </c>
      <c r="D836" s="214" t="inlineStr">
        <is>
          <t>Syros HTX</t>
        </is>
      </c>
      <c r="E836" s="215" t="inlineStr">
        <is>
          <t>Glacier White Pearl</t>
        </is>
      </c>
    </row>
    <row r="837" ht="15" customHeight="1">
      <c r="A837" s="211" t="n">
        <v>833</v>
      </c>
      <c r="B837" s="212" t="inlineStr">
        <is>
          <t>Kia</t>
        </is>
      </c>
      <c r="C837" s="213" t="inlineStr">
        <is>
          <t>Syros</t>
        </is>
      </c>
      <c r="D837" s="214" t="inlineStr">
        <is>
          <t>Syros HTX</t>
        </is>
      </c>
      <c r="E837" s="215" t="inlineStr">
        <is>
          <t>Gravity Grey</t>
        </is>
      </c>
    </row>
    <row r="838" ht="15" customHeight="1">
      <c r="A838" s="211" t="n">
        <v>834</v>
      </c>
      <c r="B838" s="212" t="inlineStr">
        <is>
          <t>Kia</t>
        </is>
      </c>
      <c r="C838" s="213" t="inlineStr">
        <is>
          <t>Syros</t>
        </is>
      </c>
      <c r="D838" s="214" t="inlineStr">
        <is>
          <t>Syros HTX</t>
        </is>
      </c>
      <c r="E838" s="215" t="inlineStr">
        <is>
          <t>Imperial Blue</t>
        </is>
      </c>
    </row>
    <row r="839" ht="15" customHeight="1">
      <c r="A839" s="211" t="n">
        <v>835</v>
      </c>
      <c r="B839" s="212" t="inlineStr">
        <is>
          <t>Kia</t>
        </is>
      </c>
      <c r="C839" s="213" t="inlineStr">
        <is>
          <t>Syros</t>
        </is>
      </c>
      <c r="D839" s="214" t="inlineStr">
        <is>
          <t>Syros HTX</t>
        </is>
      </c>
      <c r="E839" s="215" t="inlineStr">
        <is>
          <t>Intense Red</t>
        </is>
      </c>
    </row>
    <row r="840" ht="15" customHeight="1">
      <c r="A840" s="211" t="n">
        <v>836</v>
      </c>
      <c r="B840" s="212" t="inlineStr">
        <is>
          <t>Kia</t>
        </is>
      </c>
      <c r="C840" s="213" t="inlineStr">
        <is>
          <t>Syros</t>
        </is>
      </c>
      <c r="D840" s="214" t="inlineStr">
        <is>
          <t>Syros HTX</t>
        </is>
      </c>
      <c r="E840" s="215" t="inlineStr">
        <is>
          <t>Ivory Silver Gloss</t>
        </is>
      </c>
    </row>
    <row r="841" ht="15" customHeight="1">
      <c r="A841" s="211" t="n">
        <v>837</v>
      </c>
      <c r="B841" s="212" t="inlineStr">
        <is>
          <t>Kia</t>
        </is>
      </c>
      <c r="C841" s="213" t="inlineStr">
        <is>
          <t>Syros</t>
        </is>
      </c>
      <c r="D841" s="214" t="inlineStr">
        <is>
          <t>Syros HTX</t>
        </is>
      </c>
      <c r="E841" s="215" t="inlineStr">
        <is>
          <t>Ivory Silver Matte</t>
        </is>
      </c>
    </row>
    <row r="842" ht="15" customHeight="1">
      <c r="A842" s="211" t="n">
        <v>838</v>
      </c>
      <c r="B842" s="212" t="inlineStr">
        <is>
          <t>Kia</t>
        </is>
      </c>
      <c r="C842" s="213" t="inlineStr">
        <is>
          <t>Syros</t>
        </is>
      </c>
      <c r="D842" s="214" t="inlineStr">
        <is>
          <t>Syros HTX</t>
        </is>
      </c>
      <c r="E842" s="215" t="inlineStr">
        <is>
          <t>Pewter Olive</t>
        </is>
      </c>
    </row>
    <row r="843" ht="15" customHeight="1">
      <c r="A843" s="211" t="n">
        <v>839</v>
      </c>
      <c r="B843" s="212" t="inlineStr">
        <is>
          <t>Kia</t>
        </is>
      </c>
      <c r="C843" s="213" t="inlineStr">
        <is>
          <t>Syros</t>
        </is>
      </c>
      <c r="D843" s="214" t="inlineStr">
        <is>
          <t>Syros HTX (O)</t>
        </is>
      </c>
      <c r="E843" s="215" t="inlineStr">
        <is>
          <t>Aurora Black Pearl</t>
        </is>
      </c>
    </row>
    <row r="844" ht="15" customHeight="1">
      <c r="A844" s="211" t="n">
        <v>840</v>
      </c>
      <c r="B844" s="212" t="inlineStr">
        <is>
          <t>Kia</t>
        </is>
      </c>
      <c r="C844" s="213" t="inlineStr">
        <is>
          <t>Syros</t>
        </is>
      </c>
      <c r="D844" s="214" t="inlineStr">
        <is>
          <t>Syros HTX (O)</t>
        </is>
      </c>
      <c r="E844" s="215" t="inlineStr">
        <is>
          <t>Frost Blue</t>
        </is>
      </c>
    </row>
    <row r="845" ht="15" customHeight="1">
      <c r="A845" s="211" t="n">
        <v>841</v>
      </c>
      <c r="B845" s="212" t="inlineStr">
        <is>
          <t>Kia</t>
        </is>
      </c>
      <c r="C845" s="213" t="inlineStr">
        <is>
          <t>Syros</t>
        </is>
      </c>
      <c r="D845" s="214" t="inlineStr">
        <is>
          <t>Syros HTX (O)</t>
        </is>
      </c>
      <c r="E845" s="215" t="inlineStr">
        <is>
          <t>Glacier White Pearl</t>
        </is>
      </c>
    </row>
    <row r="846" ht="15" customHeight="1">
      <c r="A846" s="211" t="n">
        <v>842</v>
      </c>
      <c r="B846" s="212" t="inlineStr">
        <is>
          <t>Kia</t>
        </is>
      </c>
      <c r="C846" s="213" t="inlineStr">
        <is>
          <t>Syros</t>
        </is>
      </c>
      <c r="D846" s="214" t="inlineStr">
        <is>
          <t>Syros HTX (O)</t>
        </is>
      </c>
      <c r="E846" s="215" t="inlineStr">
        <is>
          <t>Gravity Grey</t>
        </is>
      </c>
    </row>
    <row r="847" ht="15" customHeight="1">
      <c r="A847" s="211" t="n">
        <v>843</v>
      </c>
      <c r="B847" s="212" t="inlineStr">
        <is>
          <t>Kia</t>
        </is>
      </c>
      <c r="C847" s="213" t="inlineStr">
        <is>
          <t>Syros</t>
        </is>
      </c>
      <c r="D847" s="214" t="inlineStr">
        <is>
          <t>Syros HTX (O)</t>
        </is>
      </c>
      <c r="E847" s="215" t="inlineStr">
        <is>
          <t>Imperial Blue</t>
        </is>
      </c>
    </row>
    <row r="848" ht="15" customHeight="1">
      <c r="A848" s="211" t="n">
        <v>844</v>
      </c>
      <c r="B848" s="212" t="inlineStr">
        <is>
          <t>Kia</t>
        </is>
      </c>
      <c r="C848" s="213" t="inlineStr">
        <is>
          <t>Syros</t>
        </is>
      </c>
      <c r="D848" s="214" t="inlineStr">
        <is>
          <t>Syros HTX (O)</t>
        </is>
      </c>
      <c r="E848" s="215" t="inlineStr">
        <is>
          <t>Intense Red</t>
        </is>
      </c>
    </row>
    <row r="849" ht="15" customHeight="1">
      <c r="A849" s="211" t="n">
        <v>845</v>
      </c>
      <c r="B849" s="212" t="inlineStr">
        <is>
          <t>Kia</t>
        </is>
      </c>
      <c r="C849" s="213" t="inlineStr">
        <is>
          <t>Syros</t>
        </is>
      </c>
      <c r="D849" s="214" t="inlineStr">
        <is>
          <t>Syros HTX (O)</t>
        </is>
      </c>
      <c r="E849" s="215" t="inlineStr">
        <is>
          <t>Ivory Silver Gloss</t>
        </is>
      </c>
    </row>
    <row r="850" ht="15" customHeight="1">
      <c r="A850" s="211" t="n">
        <v>846</v>
      </c>
      <c r="B850" s="212" t="inlineStr">
        <is>
          <t>Kia</t>
        </is>
      </c>
      <c r="C850" s="213" t="inlineStr">
        <is>
          <t>Syros</t>
        </is>
      </c>
      <c r="D850" s="214" t="inlineStr">
        <is>
          <t>Syros HTX (O)</t>
        </is>
      </c>
      <c r="E850" s="215" t="inlineStr">
        <is>
          <t>Ivory Silver Matte</t>
        </is>
      </c>
    </row>
    <row r="851" ht="15" customHeight="1">
      <c r="A851" s="211" t="n">
        <v>847</v>
      </c>
      <c r="B851" s="212" t="inlineStr">
        <is>
          <t>Kia</t>
        </is>
      </c>
      <c r="C851" s="213" t="inlineStr">
        <is>
          <t>Syros</t>
        </is>
      </c>
      <c r="D851" s="214" t="inlineStr">
        <is>
          <t>Syros HTX (O)</t>
        </is>
      </c>
      <c r="E851" s="215" t="inlineStr">
        <is>
          <t>Pewter Olive</t>
        </is>
      </c>
    </row>
    <row r="852" ht="15" customHeight="1">
      <c r="A852" s="196" t="n">
        <v>848</v>
      </c>
      <c r="B852" s="197" t="inlineStr">
        <is>
          <t>MG</t>
        </is>
      </c>
      <c r="C852" s="198" t="inlineStr">
        <is>
          <t>Astor</t>
        </is>
      </c>
      <c r="D852" s="199" t="inlineStr">
        <is>
          <t>Astor Savvy Pro</t>
        </is>
      </c>
      <c r="E852" s="200" t="inlineStr">
        <is>
          <t>Aurora Silver</t>
        </is>
      </c>
    </row>
    <row r="853" ht="15" customHeight="1">
      <c r="A853" s="196" t="n">
        <v>849</v>
      </c>
      <c r="B853" s="197" t="inlineStr">
        <is>
          <t>MG</t>
        </is>
      </c>
      <c r="C853" s="198" t="inlineStr">
        <is>
          <t>Astor</t>
        </is>
      </c>
      <c r="D853" s="199" t="inlineStr">
        <is>
          <t>Astor Savvy Pro</t>
        </is>
      </c>
      <c r="E853" s="200" t="inlineStr">
        <is>
          <t>Candy White</t>
        </is>
      </c>
    </row>
    <row r="854" ht="15" customHeight="1">
      <c r="A854" s="196" t="n">
        <v>850</v>
      </c>
      <c r="B854" s="197" t="inlineStr">
        <is>
          <t>MG</t>
        </is>
      </c>
      <c r="C854" s="198" t="inlineStr">
        <is>
          <t>Astor</t>
        </is>
      </c>
      <c r="D854" s="199" t="inlineStr">
        <is>
          <t>Astor Savvy Pro</t>
        </is>
      </c>
      <c r="E854" s="200" t="inlineStr">
        <is>
          <t>Candy White with Black Dual Tone</t>
        </is>
      </c>
    </row>
    <row r="855" ht="15" customHeight="1">
      <c r="A855" s="196" t="n">
        <v>851</v>
      </c>
      <c r="B855" s="197" t="inlineStr">
        <is>
          <t>MG</t>
        </is>
      </c>
      <c r="C855" s="198" t="inlineStr">
        <is>
          <t>Astor</t>
        </is>
      </c>
      <c r="D855" s="199" t="inlineStr">
        <is>
          <t>Astor Savvy Pro</t>
        </is>
      </c>
      <c r="E855" s="200" t="inlineStr">
        <is>
          <t>Glaze Red</t>
        </is>
      </c>
    </row>
    <row r="856" ht="15" customHeight="1">
      <c r="A856" s="196" t="n">
        <v>852</v>
      </c>
      <c r="B856" s="197" t="inlineStr">
        <is>
          <t>MG</t>
        </is>
      </c>
      <c r="C856" s="198" t="inlineStr">
        <is>
          <t>Astor</t>
        </is>
      </c>
      <c r="D856" s="199" t="inlineStr">
        <is>
          <t>Astor Savvy Pro</t>
        </is>
      </c>
      <c r="E856" s="200" t="inlineStr">
        <is>
          <t>Havana Grey</t>
        </is>
      </c>
    </row>
    <row r="857" ht="15" customHeight="1">
      <c r="A857" s="196" t="n">
        <v>853</v>
      </c>
      <c r="B857" s="197" t="inlineStr">
        <is>
          <t>MG</t>
        </is>
      </c>
      <c r="C857" s="198" t="inlineStr">
        <is>
          <t>Astor</t>
        </is>
      </c>
      <c r="D857" s="199" t="inlineStr">
        <is>
          <t>Astor Savvy Pro</t>
        </is>
      </c>
      <c r="E857" s="200" t="inlineStr">
        <is>
          <t>Starry Black</t>
        </is>
      </c>
    </row>
    <row r="858" ht="15" customHeight="1">
      <c r="A858" s="196" t="n">
        <v>854</v>
      </c>
      <c r="B858" s="197" t="inlineStr">
        <is>
          <t>MG</t>
        </is>
      </c>
      <c r="C858" s="198" t="inlineStr">
        <is>
          <t>Astor</t>
        </is>
      </c>
      <c r="D858" s="199" t="inlineStr">
        <is>
          <t>Astor Select</t>
        </is>
      </c>
      <c r="E858" s="200" t="inlineStr">
        <is>
          <t>Aurora Silver</t>
        </is>
      </c>
    </row>
    <row r="859" ht="15" customHeight="1">
      <c r="A859" s="196" t="n">
        <v>855</v>
      </c>
      <c r="B859" s="197" t="inlineStr">
        <is>
          <t>MG</t>
        </is>
      </c>
      <c r="C859" s="198" t="inlineStr">
        <is>
          <t>Astor</t>
        </is>
      </c>
      <c r="D859" s="199" t="inlineStr">
        <is>
          <t>Astor Select</t>
        </is>
      </c>
      <c r="E859" s="200" t="inlineStr">
        <is>
          <t>Candy White</t>
        </is>
      </c>
    </row>
    <row r="860" ht="15" customHeight="1">
      <c r="A860" s="196" t="n">
        <v>856</v>
      </c>
      <c r="B860" s="197" t="inlineStr">
        <is>
          <t>MG</t>
        </is>
      </c>
      <c r="C860" s="198" t="inlineStr">
        <is>
          <t>Astor</t>
        </is>
      </c>
      <c r="D860" s="199" t="inlineStr">
        <is>
          <t>Astor Select</t>
        </is>
      </c>
      <c r="E860" s="200" t="inlineStr">
        <is>
          <t>Glaze Red</t>
        </is>
      </c>
    </row>
    <row r="861" ht="15" customHeight="1">
      <c r="A861" s="196" t="n">
        <v>857</v>
      </c>
      <c r="B861" s="197" t="inlineStr">
        <is>
          <t>MG</t>
        </is>
      </c>
      <c r="C861" s="198" t="inlineStr">
        <is>
          <t>Astor</t>
        </is>
      </c>
      <c r="D861" s="199" t="inlineStr">
        <is>
          <t>Astor Select</t>
        </is>
      </c>
      <c r="E861" s="200" t="inlineStr">
        <is>
          <t>Starry Black</t>
        </is>
      </c>
    </row>
    <row r="862" ht="15" customHeight="1">
      <c r="A862" s="196" t="n">
        <v>858</v>
      </c>
      <c r="B862" s="197" t="inlineStr">
        <is>
          <t>MG</t>
        </is>
      </c>
      <c r="C862" s="198" t="inlineStr">
        <is>
          <t>Astor</t>
        </is>
      </c>
      <c r="D862" s="199" t="inlineStr">
        <is>
          <t>Astor Sharp Pro</t>
        </is>
      </c>
      <c r="E862" s="200" t="inlineStr">
        <is>
          <t>Aurora Silver</t>
        </is>
      </c>
    </row>
    <row r="863" ht="15" customHeight="1">
      <c r="A863" s="196" t="n">
        <v>859</v>
      </c>
      <c r="B863" s="197" t="inlineStr">
        <is>
          <t>MG</t>
        </is>
      </c>
      <c r="C863" s="198" t="inlineStr">
        <is>
          <t>Astor</t>
        </is>
      </c>
      <c r="D863" s="199" t="inlineStr">
        <is>
          <t>Astor Sharp Pro</t>
        </is>
      </c>
      <c r="E863" s="200" t="inlineStr">
        <is>
          <t>Candy White</t>
        </is>
      </c>
    </row>
    <row r="864" ht="15" customHeight="1">
      <c r="A864" s="196" t="n">
        <v>860</v>
      </c>
      <c r="B864" s="197" t="inlineStr">
        <is>
          <t>MG</t>
        </is>
      </c>
      <c r="C864" s="198" t="inlineStr">
        <is>
          <t>Astor</t>
        </is>
      </c>
      <c r="D864" s="199" t="inlineStr">
        <is>
          <t>Astor Sharp Pro</t>
        </is>
      </c>
      <c r="E864" s="200" t="inlineStr">
        <is>
          <t>Candy White with Black Dual Tone</t>
        </is>
      </c>
    </row>
    <row r="865" ht="15" customHeight="1">
      <c r="A865" s="196" t="n">
        <v>861</v>
      </c>
      <c r="B865" s="197" t="inlineStr">
        <is>
          <t>MG</t>
        </is>
      </c>
      <c r="C865" s="198" t="inlineStr">
        <is>
          <t>Astor</t>
        </is>
      </c>
      <c r="D865" s="199" t="inlineStr">
        <is>
          <t>Astor Sharp Pro</t>
        </is>
      </c>
      <c r="E865" s="200" t="inlineStr">
        <is>
          <t>Glaze Red</t>
        </is>
      </c>
    </row>
    <row r="866" ht="15" customHeight="1">
      <c r="A866" s="196" t="n">
        <v>862</v>
      </c>
      <c r="B866" s="197" t="inlineStr">
        <is>
          <t>MG</t>
        </is>
      </c>
      <c r="C866" s="198" t="inlineStr">
        <is>
          <t>Astor</t>
        </is>
      </c>
      <c r="D866" s="199" t="inlineStr">
        <is>
          <t>Astor Sharp Pro</t>
        </is>
      </c>
      <c r="E866" s="200" t="inlineStr">
        <is>
          <t>Havana Grey</t>
        </is>
      </c>
    </row>
    <row r="867" ht="15" customHeight="1">
      <c r="A867" s="196" t="n">
        <v>863</v>
      </c>
      <c r="B867" s="197" t="inlineStr">
        <is>
          <t>MG</t>
        </is>
      </c>
      <c r="C867" s="198" t="inlineStr">
        <is>
          <t>Astor</t>
        </is>
      </c>
      <c r="D867" s="199" t="inlineStr">
        <is>
          <t>Astor Sharp Pro</t>
        </is>
      </c>
      <c r="E867" s="200" t="inlineStr">
        <is>
          <t>Starry Black</t>
        </is>
      </c>
    </row>
    <row r="868" ht="15" customHeight="1">
      <c r="A868" s="196" t="n">
        <v>864</v>
      </c>
      <c r="B868" s="197" t="inlineStr">
        <is>
          <t>MG</t>
        </is>
      </c>
      <c r="C868" s="198" t="inlineStr">
        <is>
          <t>Astor</t>
        </is>
      </c>
      <c r="D868" s="199" t="inlineStr">
        <is>
          <t>Astor Shine</t>
        </is>
      </c>
      <c r="E868" s="200" t="inlineStr">
        <is>
          <t>Aurora Silver</t>
        </is>
      </c>
    </row>
    <row r="869" ht="15" customHeight="1">
      <c r="A869" s="196" t="n">
        <v>865</v>
      </c>
      <c r="B869" s="197" t="inlineStr">
        <is>
          <t>MG</t>
        </is>
      </c>
      <c r="C869" s="198" t="inlineStr">
        <is>
          <t>Astor</t>
        </is>
      </c>
      <c r="D869" s="199" t="inlineStr">
        <is>
          <t>Astor Shine</t>
        </is>
      </c>
      <c r="E869" s="200" t="inlineStr">
        <is>
          <t>Candy White</t>
        </is>
      </c>
    </row>
    <row r="870" ht="15" customHeight="1">
      <c r="A870" s="196" t="n">
        <v>866</v>
      </c>
      <c r="B870" s="197" t="inlineStr">
        <is>
          <t>MG</t>
        </is>
      </c>
      <c r="C870" s="198" t="inlineStr">
        <is>
          <t>Astor</t>
        </is>
      </c>
      <c r="D870" s="199" t="inlineStr">
        <is>
          <t>Astor Shine</t>
        </is>
      </c>
      <c r="E870" s="200" t="inlineStr">
        <is>
          <t>Starry Black</t>
        </is>
      </c>
    </row>
    <row r="871" ht="15" customHeight="1">
      <c r="A871" s="196" t="n">
        <v>867</v>
      </c>
      <c r="B871" s="197" t="inlineStr">
        <is>
          <t>MG</t>
        </is>
      </c>
      <c r="C871" s="198" t="inlineStr">
        <is>
          <t>Astor</t>
        </is>
      </c>
      <c r="D871" s="199" t="inlineStr">
        <is>
          <t>Astor Sprint</t>
        </is>
      </c>
      <c r="E871" s="200" t="inlineStr">
        <is>
          <t>Aurora Silver</t>
        </is>
      </c>
    </row>
    <row r="872" ht="15" customHeight="1">
      <c r="A872" s="196" t="n">
        <v>868</v>
      </c>
      <c r="B872" s="197" t="inlineStr">
        <is>
          <t>MG</t>
        </is>
      </c>
      <c r="C872" s="198" t="inlineStr">
        <is>
          <t>Astor</t>
        </is>
      </c>
      <c r="D872" s="199" t="inlineStr">
        <is>
          <t>Astor Sprint</t>
        </is>
      </c>
      <c r="E872" s="200" t="inlineStr">
        <is>
          <t>Candy White</t>
        </is>
      </c>
    </row>
    <row r="873" ht="15" customHeight="1">
      <c r="A873" s="196" t="n">
        <v>869</v>
      </c>
      <c r="B873" s="197" t="inlineStr">
        <is>
          <t>MG</t>
        </is>
      </c>
      <c r="C873" s="198" t="inlineStr">
        <is>
          <t>Comet EV</t>
        </is>
      </c>
      <c r="D873" s="199" t="inlineStr">
        <is>
          <t>Comet EV Excite</t>
        </is>
      </c>
      <c r="E873" s="200" t="inlineStr">
        <is>
          <t>Aurora Silver</t>
        </is>
      </c>
    </row>
    <row r="874" ht="15" customHeight="1">
      <c r="A874" s="196" t="n">
        <v>870</v>
      </c>
      <c r="B874" s="197" t="inlineStr">
        <is>
          <t>MG</t>
        </is>
      </c>
      <c r="C874" s="198" t="inlineStr">
        <is>
          <t>Comet EV</t>
        </is>
      </c>
      <c r="D874" s="199" t="inlineStr">
        <is>
          <t>Comet EV Excite</t>
        </is>
      </c>
      <c r="E874" s="200" t="inlineStr">
        <is>
          <t>Candy White</t>
        </is>
      </c>
    </row>
    <row r="875" ht="15" customHeight="1">
      <c r="A875" s="196" t="n">
        <v>871</v>
      </c>
      <c r="B875" s="197" t="inlineStr">
        <is>
          <t>MG</t>
        </is>
      </c>
      <c r="C875" s="198" t="inlineStr">
        <is>
          <t>Comet EV</t>
        </is>
      </c>
      <c r="D875" s="199" t="inlineStr">
        <is>
          <t>Comet EV Excite</t>
        </is>
      </c>
      <c r="E875" s="200" t="inlineStr">
        <is>
          <t>Starry Black</t>
        </is>
      </c>
    </row>
    <row r="876" ht="15" customHeight="1">
      <c r="A876" s="196" t="n">
        <v>872</v>
      </c>
      <c r="B876" s="197" t="inlineStr">
        <is>
          <t>MG</t>
        </is>
      </c>
      <c r="C876" s="198" t="inlineStr">
        <is>
          <t>Comet EV</t>
        </is>
      </c>
      <c r="D876" s="199" t="inlineStr">
        <is>
          <t>Comet EV Excite FC</t>
        </is>
      </c>
      <c r="E876" s="200" t="inlineStr">
        <is>
          <t>Aurora Silver</t>
        </is>
      </c>
    </row>
    <row r="877" ht="15" customHeight="1">
      <c r="A877" s="196" t="n">
        <v>873</v>
      </c>
      <c r="B877" s="197" t="inlineStr">
        <is>
          <t>MG</t>
        </is>
      </c>
      <c r="C877" s="198" t="inlineStr">
        <is>
          <t>Comet EV</t>
        </is>
      </c>
      <c r="D877" s="199" t="inlineStr">
        <is>
          <t>Comet EV Excite FC</t>
        </is>
      </c>
      <c r="E877" s="200" t="inlineStr">
        <is>
          <t>Candy White</t>
        </is>
      </c>
    </row>
    <row r="878" ht="15" customHeight="1">
      <c r="A878" s="196" t="n">
        <v>874</v>
      </c>
      <c r="B878" s="197" t="inlineStr">
        <is>
          <t>MG</t>
        </is>
      </c>
      <c r="C878" s="198" t="inlineStr">
        <is>
          <t>Comet EV</t>
        </is>
      </c>
      <c r="D878" s="199" t="inlineStr">
        <is>
          <t>Comet EV Excite FC</t>
        </is>
      </c>
      <c r="E878" s="200" t="inlineStr">
        <is>
          <t>Starry Black</t>
        </is>
      </c>
    </row>
    <row r="879" ht="15" customHeight="1">
      <c r="A879" s="196" t="n">
        <v>875</v>
      </c>
      <c r="B879" s="197" t="inlineStr">
        <is>
          <t>MG</t>
        </is>
      </c>
      <c r="C879" s="198" t="inlineStr">
        <is>
          <t>Comet EV</t>
        </is>
      </c>
      <c r="D879" s="199" t="inlineStr">
        <is>
          <t>Comet EV Exclusive</t>
        </is>
      </c>
      <c r="E879" s="200" t="inlineStr">
        <is>
          <t>Candy White and Starry Black</t>
        </is>
      </c>
    </row>
    <row r="880" ht="15" customHeight="1">
      <c r="A880" s="196" t="n">
        <v>876</v>
      </c>
      <c r="B880" s="197" t="inlineStr">
        <is>
          <t>MG</t>
        </is>
      </c>
      <c r="C880" s="198" t="inlineStr">
        <is>
          <t>Comet EV</t>
        </is>
      </c>
      <c r="D880" s="199" t="inlineStr">
        <is>
          <t>Comet EV Exclusive FC</t>
        </is>
      </c>
      <c r="E880" s="200" t="inlineStr">
        <is>
          <t>Aurora Silver</t>
        </is>
      </c>
    </row>
    <row r="881" ht="15" customHeight="1">
      <c r="A881" s="196" t="n">
        <v>877</v>
      </c>
      <c r="B881" s="197" t="inlineStr">
        <is>
          <t>MG</t>
        </is>
      </c>
      <c r="C881" s="198" t="inlineStr">
        <is>
          <t>Comet EV</t>
        </is>
      </c>
      <c r="D881" s="199" t="inlineStr">
        <is>
          <t>Comet EV Exclusive FC</t>
        </is>
      </c>
      <c r="E881" s="200" t="inlineStr">
        <is>
          <t>Candy White</t>
        </is>
      </c>
    </row>
    <row r="882" ht="15" customHeight="1">
      <c r="A882" s="196" t="n">
        <v>878</v>
      </c>
      <c r="B882" s="197" t="inlineStr">
        <is>
          <t>MG</t>
        </is>
      </c>
      <c r="C882" s="198" t="inlineStr">
        <is>
          <t>Comet EV</t>
        </is>
      </c>
      <c r="D882" s="199" t="inlineStr">
        <is>
          <t>Comet EV Exclusive FC</t>
        </is>
      </c>
      <c r="E882" s="200" t="inlineStr">
        <is>
          <t>Candy White and Starry Black</t>
        </is>
      </c>
    </row>
    <row r="883" ht="15" customHeight="1">
      <c r="A883" s="196" t="n">
        <v>879</v>
      </c>
      <c r="B883" s="197" t="inlineStr">
        <is>
          <t>MG</t>
        </is>
      </c>
      <c r="C883" s="198" t="inlineStr">
        <is>
          <t>Comet EV</t>
        </is>
      </c>
      <c r="D883" s="199" t="inlineStr">
        <is>
          <t>Comet EV Exclusive FC</t>
        </is>
      </c>
      <c r="E883" s="200" t="inlineStr">
        <is>
          <t>Starry Black</t>
        </is>
      </c>
    </row>
    <row r="884" ht="15" customHeight="1">
      <c r="A884" s="196" t="n">
        <v>880</v>
      </c>
      <c r="B884" s="197" t="inlineStr">
        <is>
          <t>MG</t>
        </is>
      </c>
      <c r="C884" s="198" t="inlineStr">
        <is>
          <t>Comet EV</t>
        </is>
      </c>
      <c r="D884" s="199" t="inlineStr">
        <is>
          <t>Comet EV Executive</t>
        </is>
      </c>
      <c r="E884" s="200" t="inlineStr">
        <is>
          <t>Aurora Silver</t>
        </is>
      </c>
    </row>
    <row r="885" ht="15" customHeight="1">
      <c r="A885" s="196" t="n">
        <v>881</v>
      </c>
      <c r="B885" s="197" t="inlineStr">
        <is>
          <t>MG</t>
        </is>
      </c>
      <c r="C885" s="198" t="inlineStr">
        <is>
          <t>Gloster</t>
        </is>
      </c>
      <c r="D885" s="199" t="inlineStr">
        <is>
          <t>Gloster Blackstorm</t>
        </is>
      </c>
      <c r="E885" s="200" t="inlineStr">
        <is>
          <t>Metal Black</t>
        </is>
      </c>
    </row>
    <row r="886" ht="15" customHeight="1">
      <c r="A886" s="196" t="n">
        <v>882</v>
      </c>
      <c r="B886" s="197" t="inlineStr">
        <is>
          <t>MG</t>
        </is>
      </c>
      <c r="C886" s="198" t="inlineStr">
        <is>
          <t>Gloster</t>
        </is>
      </c>
      <c r="D886" s="199" t="inlineStr">
        <is>
          <t>Gloster Desertstorm</t>
        </is>
      </c>
      <c r="E886" s="200" t="inlineStr">
        <is>
          <t>Deep Golden</t>
        </is>
      </c>
    </row>
    <row r="887" ht="15" customHeight="1">
      <c r="A887" s="196" t="n">
        <v>883</v>
      </c>
      <c r="B887" s="197" t="inlineStr">
        <is>
          <t>MG</t>
        </is>
      </c>
      <c r="C887" s="198" t="inlineStr">
        <is>
          <t>Gloster</t>
        </is>
      </c>
      <c r="D887" s="199" t="inlineStr">
        <is>
          <t>Gloster Desertstorm</t>
        </is>
      </c>
      <c r="E887" s="200" t="inlineStr">
        <is>
          <t>Metal Ash</t>
        </is>
      </c>
    </row>
    <row r="888" ht="15" customHeight="1">
      <c r="A888" s="196" t="n">
        <v>884</v>
      </c>
      <c r="B888" s="197" t="inlineStr">
        <is>
          <t>MG</t>
        </is>
      </c>
      <c r="C888" s="198" t="inlineStr">
        <is>
          <t>Gloster</t>
        </is>
      </c>
      <c r="D888" s="199" t="inlineStr">
        <is>
          <t>Gloster Desertstorm</t>
        </is>
      </c>
      <c r="E888" s="200" t="inlineStr">
        <is>
          <t>Metal Black</t>
        </is>
      </c>
    </row>
    <row r="889" ht="15" customHeight="1">
      <c r="A889" s="196" t="n">
        <v>885</v>
      </c>
      <c r="B889" s="197" t="inlineStr">
        <is>
          <t>MG</t>
        </is>
      </c>
      <c r="C889" s="198" t="inlineStr">
        <is>
          <t>Gloster</t>
        </is>
      </c>
      <c r="D889" s="199" t="inlineStr">
        <is>
          <t>Gloster Desertstorm</t>
        </is>
      </c>
      <c r="E889" s="200" t="inlineStr">
        <is>
          <t>Pearl White</t>
        </is>
      </c>
    </row>
    <row r="890" ht="15" customHeight="1">
      <c r="A890" s="196" t="n">
        <v>886</v>
      </c>
      <c r="B890" s="197" t="inlineStr">
        <is>
          <t>MG</t>
        </is>
      </c>
      <c r="C890" s="198" t="inlineStr">
        <is>
          <t>Gloster</t>
        </is>
      </c>
      <c r="D890" s="199" t="inlineStr">
        <is>
          <t>Gloster Savvy</t>
        </is>
      </c>
      <c r="E890" s="200" t="inlineStr">
        <is>
          <t>Deep Golden</t>
        </is>
      </c>
    </row>
    <row r="891" ht="15" customHeight="1">
      <c r="A891" s="196" t="n">
        <v>887</v>
      </c>
      <c r="B891" s="197" t="inlineStr">
        <is>
          <t>MG</t>
        </is>
      </c>
      <c r="C891" s="198" t="inlineStr">
        <is>
          <t>Gloster</t>
        </is>
      </c>
      <c r="D891" s="199" t="inlineStr">
        <is>
          <t>Gloster Savvy</t>
        </is>
      </c>
      <c r="E891" s="200" t="inlineStr">
        <is>
          <t>Metal Ash</t>
        </is>
      </c>
    </row>
    <row r="892" ht="15" customHeight="1">
      <c r="A892" s="196" t="n">
        <v>888</v>
      </c>
      <c r="B892" s="197" t="inlineStr">
        <is>
          <t>MG</t>
        </is>
      </c>
      <c r="C892" s="198" t="inlineStr">
        <is>
          <t>Gloster</t>
        </is>
      </c>
      <c r="D892" s="199" t="inlineStr">
        <is>
          <t>Gloster Savvy</t>
        </is>
      </c>
      <c r="E892" s="200" t="inlineStr">
        <is>
          <t>Metal Black</t>
        </is>
      </c>
    </row>
    <row r="893" ht="15" customHeight="1">
      <c r="A893" s="196" t="n">
        <v>889</v>
      </c>
      <c r="B893" s="197" t="inlineStr">
        <is>
          <t>MG</t>
        </is>
      </c>
      <c r="C893" s="198" t="inlineStr">
        <is>
          <t>Gloster</t>
        </is>
      </c>
      <c r="D893" s="199" t="inlineStr">
        <is>
          <t>Gloster Savvy</t>
        </is>
      </c>
      <c r="E893" s="200" t="inlineStr">
        <is>
          <t>Warm White</t>
        </is>
      </c>
    </row>
    <row r="894" ht="15" customHeight="1">
      <c r="A894" s="196" t="n">
        <v>890</v>
      </c>
      <c r="B894" s="197" t="inlineStr">
        <is>
          <t>MG</t>
        </is>
      </c>
      <c r="C894" s="198" t="inlineStr">
        <is>
          <t>Gloster</t>
        </is>
      </c>
      <c r="D894" s="199" t="inlineStr">
        <is>
          <t>Gloster Sharp</t>
        </is>
      </c>
      <c r="E894" s="200" t="inlineStr">
        <is>
          <t>Deep Golden</t>
        </is>
      </c>
    </row>
    <row r="895" ht="15" customHeight="1">
      <c r="A895" s="196" t="n">
        <v>891</v>
      </c>
      <c r="B895" s="197" t="inlineStr">
        <is>
          <t>MG</t>
        </is>
      </c>
      <c r="C895" s="198" t="inlineStr">
        <is>
          <t>Gloster</t>
        </is>
      </c>
      <c r="D895" s="199" t="inlineStr">
        <is>
          <t>Gloster Sharp</t>
        </is>
      </c>
      <c r="E895" s="200" t="inlineStr">
        <is>
          <t>Metal Ash</t>
        </is>
      </c>
    </row>
    <row r="896" ht="15" customHeight="1">
      <c r="A896" s="196" t="n">
        <v>892</v>
      </c>
      <c r="B896" s="197" t="inlineStr">
        <is>
          <t>MG</t>
        </is>
      </c>
      <c r="C896" s="198" t="inlineStr">
        <is>
          <t>Gloster</t>
        </is>
      </c>
      <c r="D896" s="199" t="inlineStr">
        <is>
          <t>Gloster Sharp</t>
        </is>
      </c>
      <c r="E896" s="200" t="inlineStr">
        <is>
          <t>Metal Black</t>
        </is>
      </c>
    </row>
    <row r="897" ht="15" customHeight="1">
      <c r="A897" s="196" t="n">
        <v>893</v>
      </c>
      <c r="B897" s="197" t="inlineStr">
        <is>
          <t>MG</t>
        </is>
      </c>
      <c r="C897" s="198" t="inlineStr">
        <is>
          <t>Gloster</t>
        </is>
      </c>
      <c r="D897" s="199" t="inlineStr">
        <is>
          <t>Gloster Sharp</t>
        </is>
      </c>
      <c r="E897" s="200" t="inlineStr">
        <is>
          <t>Warm White</t>
        </is>
      </c>
    </row>
    <row r="898" ht="15" customHeight="1">
      <c r="A898" s="196" t="n">
        <v>894</v>
      </c>
      <c r="B898" s="197" t="inlineStr">
        <is>
          <t>MG</t>
        </is>
      </c>
      <c r="C898" s="198" t="inlineStr">
        <is>
          <t>Gloster</t>
        </is>
      </c>
      <c r="D898" s="199" t="inlineStr">
        <is>
          <t>Gloster Snowstorm</t>
        </is>
      </c>
      <c r="E898" s="200" t="inlineStr">
        <is>
          <t>Deep Golden</t>
        </is>
      </c>
    </row>
    <row r="899" ht="15" customHeight="1">
      <c r="A899" s="196" t="n">
        <v>895</v>
      </c>
      <c r="B899" s="197" t="inlineStr">
        <is>
          <t>MG</t>
        </is>
      </c>
      <c r="C899" s="198" t="inlineStr">
        <is>
          <t>Gloster</t>
        </is>
      </c>
      <c r="D899" s="199" t="inlineStr">
        <is>
          <t>Gloster Snowstorm</t>
        </is>
      </c>
      <c r="E899" s="200" t="inlineStr">
        <is>
          <t>Metal Ash</t>
        </is>
      </c>
    </row>
    <row r="900" ht="15" customHeight="1">
      <c r="A900" s="196" t="n">
        <v>896</v>
      </c>
      <c r="B900" s="197" t="inlineStr">
        <is>
          <t>MG</t>
        </is>
      </c>
      <c r="C900" s="198" t="inlineStr">
        <is>
          <t>Gloster</t>
        </is>
      </c>
      <c r="D900" s="199" t="inlineStr">
        <is>
          <t>Gloster Snowstorm</t>
        </is>
      </c>
      <c r="E900" s="200" t="inlineStr">
        <is>
          <t>Metal Black</t>
        </is>
      </c>
    </row>
    <row r="901" ht="15" customHeight="1">
      <c r="A901" s="196" t="n">
        <v>897</v>
      </c>
      <c r="B901" s="197" t="inlineStr">
        <is>
          <t>MG</t>
        </is>
      </c>
      <c r="C901" s="198" t="inlineStr">
        <is>
          <t>Gloster</t>
        </is>
      </c>
      <c r="D901" s="199" t="inlineStr">
        <is>
          <t>Gloster Snowstorm</t>
        </is>
      </c>
      <c r="E901" s="200" t="inlineStr">
        <is>
          <t>Warm White</t>
        </is>
      </c>
    </row>
    <row r="902" ht="15" customHeight="1">
      <c r="A902" s="196" t="n">
        <v>898</v>
      </c>
      <c r="B902" s="197" t="inlineStr">
        <is>
          <t>MG</t>
        </is>
      </c>
      <c r="C902" s="198" t="inlineStr">
        <is>
          <t>Hector</t>
        </is>
      </c>
      <c r="D902" s="199" t="inlineStr">
        <is>
          <t>Hector Savvy Pro</t>
        </is>
      </c>
      <c r="E902" s="200" t="inlineStr">
        <is>
          <t>Aurora Silver</t>
        </is>
      </c>
    </row>
    <row r="903" ht="15" customHeight="1">
      <c r="A903" s="196" t="n">
        <v>899</v>
      </c>
      <c r="B903" s="197" t="inlineStr">
        <is>
          <t>MG</t>
        </is>
      </c>
      <c r="C903" s="198" t="inlineStr">
        <is>
          <t>Hector</t>
        </is>
      </c>
      <c r="D903" s="199" t="inlineStr">
        <is>
          <t>Hector Savvy Pro</t>
        </is>
      </c>
      <c r="E903" s="200" t="inlineStr">
        <is>
          <t>Celadon Blue</t>
        </is>
      </c>
    </row>
    <row r="904" ht="15" customHeight="1">
      <c r="A904" s="196" t="n">
        <v>900</v>
      </c>
      <c r="B904" s="197" t="inlineStr">
        <is>
          <t>MG</t>
        </is>
      </c>
      <c r="C904" s="198" t="inlineStr">
        <is>
          <t>Hector</t>
        </is>
      </c>
      <c r="D904" s="199" t="inlineStr">
        <is>
          <t>Hector Savvy Pro</t>
        </is>
      </c>
      <c r="E904" s="200" t="inlineStr">
        <is>
          <t>Glaze Red</t>
        </is>
      </c>
    </row>
    <row r="905" ht="15" customHeight="1">
      <c r="A905" s="196" t="n">
        <v>901</v>
      </c>
      <c r="B905" s="197" t="inlineStr">
        <is>
          <t>MG</t>
        </is>
      </c>
      <c r="C905" s="198" t="inlineStr">
        <is>
          <t>Hector</t>
        </is>
      </c>
      <c r="D905" s="199" t="inlineStr">
        <is>
          <t>Hector Savvy Pro</t>
        </is>
      </c>
      <c r="E905" s="200" t="inlineStr">
        <is>
          <t>Peral White</t>
        </is>
      </c>
    </row>
    <row r="906" ht="15" customHeight="1">
      <c r="A906" s="196" t="n">
        <v>902</v>
      </c>
      <c r="B906" s="197" t="inlineStr">
        <is>
          <t>MG</t>
        </is>
      </c>
      <c r="C906" s="198" t="inlineStr">
        <is>
          <t>Hector</t>
        </is>
      </c>
      <c r="D906" s="199" t="inlineStr">
        <is>
          <t>Hector Savvy Pro</t>
        </is>
      </c>
      <c r="E906" s="200" t="inlineStr">
        <is>
          <t>Starry Black</t>
        </is>
      </c>
    </row>
    <row r="907" ht="15" customHeight="1">
      <c r="A907" s="196" t="n">
        <v>903</v>
      </c>
      <c r="B907" s="197" t="inlineStr">
        <is>
          <t>MG</t>
        </is>
      </c>
      <c r="C907" s="198" t="inlineStr">
        <is>
          <t>Hector</t>
        </is>
      </c>
      <c r="D907" s="199" t="inlineStr">
        <is>
          <t>Hector Select Pro</t>
        </is>
      </c>
      <c r="E907" s="200" t="inlineStr">
        <is>
          <t>Aurora Silver</t>
        </is>
      </c>
    </row>
    <row r="908" ht="15" customHeight="1">
      <c r="A908" s="196" t="n">
        <v>904</v>
      </c>
      <c r="B908" s="197" t="inlineStr">
        <is>
          <t>MG</t>
        </is>
      </c>
      <c r="C908" s="198" t="inlineStr">
        <is>
          <t>Hector</t>
        </is>
      </c>
      <c r="D908" s="199" t="inlineStr">
        <is>
          <t>Hector Select Pro</t>
        </is>
      </c>
      <c r="E908" s="200" t="inlineStr">
        <is>
          <t>Celadon Blue</t>
        </is>
      </c>
    </row>
    <row r="909" ht="15" customHeight="1">
      <c r="A909" s="196" t="n">
        <v>905</v>
      </c>
      <c r="B909" s="197" t="inlineStr">
        <is>
          <t>MG</t>
        </is>
      </c>
      <c r="C909" s="198" t="inlineStr">
        <is>
          <t>Hector</t>
        </is>
      </c>
      <c r="D909" s="199" t="inlineStr">
        <is>
          <t>Hector Select Pro</t>
        </is>
      </c>
      <c r="E909" s="200" t="inlineStr">
        <is>
          <t>Glaze Red</t>
        </is>
      </c>
    </row>
    <row r="910" ht="15" customHeight="1">
      <c r="A910" s="196" t="n">
        <v>906</v>
      </c>
      <c r="B910" s="197" t="inlineStr">
        <is>
          <t>MG</t>
        </is>
      </c>
      <c r="C910" s="198" t="inlineStr">
        <is>
          <t>Hector</t>
        </is>
      </c>
      <c r="D910" s="199" t="inlineStr">
        <is>
          <t>Hector Select Pro</t>
        </is>
      </c>
      <c r="E910" s="200" t="inlineStr">
        <is>
          <t>Peral White</t>
        </is>
      </c>
    </row>
    <row r="911" ht="15" customHeight="1">
      <c r="A911" s="196" t="n">
        <v>907</v>
      </c>
      <c r="B911" s="197" t="inlineStr">
        <is>
          <t>MG</t>
        </is>
      </c>
      <c r="C911" s="198" t="inlineStr">
        <is>
          <t>Hector</t>
        </is>
      </c>
      <c r="D911" s="199" t="inlineStr">
        <is>
          <t>Hector Select Pro</t>
        </is>
      </c>
      <c r="E911" s="200" t="inlineStr">
        <is>
          <t>Starry Black</t>
        </is>
      </c>
    </row>
    <row r="912" ht="15" customHeight="1">
      <c r="A912" s="196" t="n">
        <v>908</v>
      </c>
      <c r="B912" s="197" t="inlineStr">
        <is>
          <t>MG</t>
        </is>
      </c>
      <c r="C912" s="198" t="inlineStr">
        <is>
          <t>Hector</t>
        </is>
      </c>
      <c r="D912" s="199" t="inlineStr">
        <is>
          <t>Hector Sharp Pro</t>
        </is>
      </c>
      <c r="E912" s="200" t="inlineStr">
        <is>
          <t>Aurora Silver</t>
        </is>
      </c>
    </row>
    <row r="913" ht="15" customHeight="1">
      <c r="A913" s="196" t="n">
        <v>909</v>
      </c>
      <c r="B913" s="197" t="inlineStr">
        <is>
          <t>MG</t>
        </is>
      </c>
      <c r="C913" s="198" t="inlineStr">
        <is>
          <t>Hector</t>
        </is>
      </c>
      <c r="D913" s="199" t="inlineStr">
        <is>
          <t>Hector Sharp Pro</t>
        </is>
      </c>
      <c r="E913" s="200" t="inlineStr">
        <is>
          <t>Celadon Blue</t>
        </is>
      </c>
    </row>
    <row r="914" ht="15" customHeight="1">
      <c r="A914" s="196" t="n">
        <v>910</v>
      </c>
      <c r="B914" s="197" t="inlineStr">
        <is>
          <t>MG</t>
        </is>
      </c>
      <c r="C914" s="198" t="inlineStr">
        <is>
          <t>Hector</t>
        </is>
      </c>
      <c r="D914" s="199" t="inlineStr">
        <is>
          <t>Hector Sharp Pro</t>
        </is>
      </c>
      <c r="E914" s="200" t="inlineStr">
        <is>
          <t>Glaze Red</t>
        </is>
      </c>
    </row>
    <row r="915" ht="15" customHeight="1">
      <c r="A915" s="196" t="n">
        <v>911</v>
      </c>
      <c r="B915" s="197" t="inlineStr">
        <is>
          <t>MG</t>
        </is>
      </c>
      <c r="C915" s="198" t="inlineStr">
        <is>
          <t>Hector</t>
        </is>
      </c>
      <c r="D915" s="199" t="inlineStr">
        <is>
          <t>Hector Sharp Pro</t>
        </is>
      </c>
      <c r="E915" s="200" t="inlineStr">
        <is>
          <t>Peral White</t>
        </is>
      </c>
    </row>
    <row r="916" ht="15" customHeight="1">
      <c r="A916" s="196" t="n">
        <v>912</v>
      </c>
      <c r="B916" s="197" t="inlineStr">
        <is>
          <t>MG</t>
        </is>
      </c>
      <c r="C916" s="198" t="inlineStr">
        <is>
          <t>Hector</t>
        </is>
      </c>
      <c r="D916" s="199" t="inlineStr">
        <is>
          <t>Hector Sharp Pro</t>
        </is>
      </c>
      <c r="E916" s="200" t="inlineStr">
        <is>
          <t>Starry Black</t>
        </is>
      </c>
    </row>
    <row r="917" ht="15" customHeight="1">
      <c r="A917" s="196" t="n">
        <v>913</v>
      </c>
      <c r="B917" s="197" t="inlineStr">
        <is>
          <t>MG</t>
        </is>
      </c>
      <c r="C917" s="198" t="inlineStr">
        <is>
          <t>Hector</t>
        </is>
      </c>
      <c r="D917" s="199" t="inlineStr">
        <is>
          <t>Hector Smart Pro</t>
        </is>
      </c>
      <c r="E917" s="200" t="inlineStr">
        <is>
          <t>Aurora Silver</t>
        </is>
      </c>
    </row>
    <row r="918" ht="15" customHeight="1">
      <c r="A918" s="196" t="n">
        <v>914</v>
      </c>
      <c r="B918" s="197" t="inlineStr">
        <is>
          <t>MG</t>
        </is>
      </c>
      <c r="C918" s="198" t="inlineStr">
        <is>
          <t>Hector</t>
        </is>
      </c>
      <c r="D918" s="199" t="inlineStr">
        <is>
          <t>Hector Smart Pro</t>
        </is>
      </c>
      <c r="E918" s="200" t="inlineStr">
        <is>
          <t>Celadon Blue</t>
        </is>
      </c>
    </row>
    <row r="919" ht="15" customHeight="1">
      <c r="A919" s="196" t="n">
        <v>915</v>
      </c>
      <c r="B919" s="197" t="inlineStr">
        <is>
          <t>MG</t>
        </is>
      </c>
      <c r="C919" s="198" t="inlineStr">
        <is>
          <t>Hector</t>
        </is>
      </c>
      <c r="D919" s="199" t="inlineStr">
        <is>
          <t>Hector Smart Pro</t>
        </is>
      </c>
      <c r="E919" s="200" t="inlineStr">
        <is>
          <t>Glaze Red</t>
        </is>
      </c>
    </row>
    <row r="920" ht="15" customHeight="1">
      <c r="A920" s="196" t="n">
        <v>916</v>
      </c>
      <c r="B920" s="197" t="inlineStr">
        <is>
          <t>MG</t>
        </is>
      </c>
      <c r="C920" s="198" t="inlineStr">
        <is>
          <t>Hector</t>
        </is>
      </c>
      <c r="D920" s="199" t="inlineStr">
        <is>
          <t>Hector Smart Pro</t>
        </is>
      </c>
      <c r="E920" s="200" t="inlineStr">
        <is>
          <t>Peral White</t>
        </is>
      </c>
    </row>
    <row r="921" ht="15" customHeight="1">
      <c r="A921" s="196" t="n">
        <v>917</v>
      </c>
      <c r="B921" s="197" t="inlineStr">
        <is>
          <t>MG</t>
        </is>
      </c>
      <c r="C921" s="198" t="inlineStr">
        <is>
          <t>Hector</t>
        </is>
      </c>
      <c r="D921" s="199" t="inlineStr">
        <is>
          <t>Hector Smart Pro</t>
        </is>
      </c>
      <c r="E921" s="200" t="inlineStr">
        <is>
          <t>Starry Black</t>
        </is>
      </c>
    </row>
    <row r="922" ht="15" customHeight="1">
      <c r="A922" s="196" t="n">
        <v>918</v>
      </c>
      <c r="B922" s="197" t="inlineStr">
        <is>
          <t>MG</t>
        </is>
      </c>
      <c r="C922" s="198" t="inlineStr">
        <is>
          <t>Hector</t>
        </is>
      </c>
      <c r="D922" s="199" t="inlineStr">
        <is>
          <t>Hector Style</t>
        </is>
      </c>
      <c r="E922" s="200" t="inlineStr">
        <is>
          <t>Aurora Silver</t>
        </is>
      </c>
    </row>
    <row r="923" ht="15" customHeight="1">
      <c r="A923" s="196" t="n">
        <v>919</v>
      </c>
      <c r="B923" s="197" t="inlineStr">
        <is>
          <t>MG</t>
        </is>
      </c>
      <c r="C923" s="198" t="inlineStr">
        <is>
          <t>Hector</t>
        </is>
      </c>
      <c r="D923" s="199" t="inlineStr">
        <is>
          <t>Hector Style</t>
        </is>
      </c>
      <c r="E923" s="200" t="inlineStr">
        <is>
          <t>Celadon Blue</t>
        </is>
      </c>
    </row>
    <row r="924" ht="15" customHeight="1">
      <c r="A924" s="196" t="n">
        <v>920</v>
      </c>
      <c r="B924" s="197" t="inlineStr">
        <is>
          <t>MG</t>
        </is>
      </c>
      <c r="C924" s="198" t="inlineStr">
        <is>
          <t>Hector</t>
        </is>
      </c>
      <c r="D924" s="199" t="inlineStr">
        <is>
          <t>Hector Style</t>
        </is>
      </c>
      <c r="E924" s="200" t="inlineStr">
        <is>
          <t>Glaze Red</t>
        </is>
      </c>
    </row>
    <row r="925" ht="15" customHeight="1">
      <c r="A925" s="196" t="n">
        <v>921</v>
      </c>
      <c r="B925" s="197" t="inlineStr">
        <is>
          <t>MG</t>
        </is>
      </c>
      <c r="C925" s="198" t="inlineStr">
        <is>
          <t>Hector</t>
        </is>
      </c>
      <c r="D925" s="199" t="inlineStr">
        <is>
          <t>Hector Style</t>
        </is>
      </c>
      <c r="E925" s="200" t="inlineStr">
        <is>
          <t>Peral White</t>
        </is>
      </c>
    </row>
    <row r="926" ht="15" customHeight="1">
      <c r="A926" s="196" t="n">
        <v>922</v>
      </c>
      <c r="B926" s="197" t="inlineStr">
        <is>
          <t>MG</t>
        </is>
      </c>
      <c r="C926" s="198" t="inlineStr">
        <is>
          <t>Hector</t>
        </is>
      </c>
      <c r="D926" s="199" t="inlineStr">
        <is>
          <t>Hector Style</t>
        </is>
      </c>
      <c r="E926" s="200" t="inlineStr">
        <is>
          <t>Starry Black</t>
        </is>
      </c>
    </row>
    <row r="927" ht="15" customHeight="1">
      <c r="A927" s="196" t="n">
        <v>923</v>
      </c>
      <c r="B927" s="197" t="inlineStr">
        <is>
          <t>MG</t>
        </is>
      </c>
      <c r="C927" s="198" t="inlineStr">
        <is>
          <t>Windsor EV</t>
        </is>
      </c>
      <c r="D927" s="199" t="inlineStr">
        <is>
          <t>Windsor EV Essence</t>
        </is>
      </c>
      <c r="E927" s="200" t="inlineStr">
        <is>
          <t>Clay Beige</t>
        </is>
      </c>
    </row>
    <row r="928" ht="15" customHeight="1">
      <c r="A928" s="196" t="n">
        <v>924</v>
      </c>
      <c r="B928" s="197" t="inlineStr">
        <is>
          <t>MG</t>
        </is>
      </c>
      <c r="C928" s="198" t="inlineStr">
        <is>
          <t>Windsor EV</t>
        </is>
      </c>
      <c r="D928" s="199" t="inlineStr">
        <is>
          <t>Windsor EV Essence</t>
        </is>
      </c>
      <c r="E928" s="200" t="inlineStr">
        <is>
          <t>Pearl White</t>
        </is>
      </c>
    </row>
    <row r="929" ht="15" customHeight="1">
      <c r="A929" s="196" t="n">
        <v>925</v>
      </c>
      <c r="B929" s="197" t="inlineStr">
        <is>
          <t>MG</t>
        </is>
      </c>
      <c r="C929" s="198" t="inlineStr">
        <is>
          <t>Windsor EV</t>
        </is>
      </c>
      <c r="D929" s="199" t="inlineStr">
        <is>
          <t>Windsor EV Essence</t>
        </is>
      </c>
      <c r="E929" s="200" t="inlineStr">
        <is>
          <t>Starry Black</t>
        </is>
      </c>
    </row>
    <row r="930" ht="15" customHeight="1">
      <c r="A930" s="196" t="n">
        <v>926</v>
      </c>
      <c r="B930" s="197" t="inlineStr">
        <is>
          <t>MG</t>
        </is>
      </c>
      <c r="C930" s="198" t="inlineStr">
        <is>
          <t>Windsor EV</t>
        </is>
      </c>
      <c r="D930" s="199" t="inlineStr">
        <is>
          <t>Windsor EV Essence</t>
        </is>
      </c>
      <c r="E930" s="200" t="inlineStr">
        <is>
          <t>Turquoise Green</t>
        </is>
      </c>
    </row>
    <row r="931" ht="15" customHeight="1">
      <c r="A931" s="196" t="n">
        <v>927</v>
      </c>
      <c r="B931" s="197" t="inlineStr">
        <is>
          <t>MG</t>
        </is>
      </c>
      <c r="C931" s="198" t="inlineStr">
        <is>
          <t>Windsor EV</t>
        </is>
      </c>
      <c r="D931" s="199" t="inlineStr">
        <is>
          <t>Windsor EV Essence Pro</t>
        </is>
      </c>
      <c r="E931" s="200" t="inlineStr">
        <is>
          <t>Aurora Silver</t>
        </is>
      </c>
    </row>
    <row r="932" ht="15" customHeight="1">
      <c r="A932" s="196" t="n">
        <v>928</v>
      </c>
      <c r="B932" s="197" t="inlineStr">
        <is>
          <t>MG</t>
        </is>
      </c>
      <c r="C932" s="198" t="inlineStr">
        <is>
          <t>Windsor EV</t>
        </is>
      </c>
      <c r="D932" s="199" t="inlineStr">
        <is>
          <t>Windsor EV Essence Pro</t>
        </is>
      </c>
      <c r="E932" s="200" t="inlineStr">
        <is>
          <t>Celadon Blue</t>
        </is>
      </c>
    </row>
    <row r="933" ht="15" customHeight="1">
      <c r="A933" s="196" t="n">
        <v>929</v>
      </c>
      <c r="B933" s="197" t="inlineStr">
        <is>
          <t>MG</t>
        </is>
      </c>
      <c r="C933" s="198" t="inlineStr">
        <is>
          <t>Windsor EV</t>
        </is>
      </c>
      <c r="D933" s="199" t="inlineStr">
        <is>
          <t>Windsor EV Essence Pro</t>
        </is>
      </c>
      <c r="E933" s="200" t="inlineStr">
        <is>
          <t>Glaze Red</t>
        </is>
      </c>
    </row>
    <row r="934" ht="15" customHeight="1">
      <c r="A934" s="196" t="n">
        <v>930</v>
      </c>
      <c r="B934" s="197" t="inlineStr">
        <is>
          <t>MG</t>
        </is>
      </c>
      <c r="C934" s="198" t="inlineStr">
        <is>
          <t>Windsor EV</t>
        </is>
      </c>
      <c r="D934" s="199" t="inlineStr">
        <is>
          <t>Windsor EV Essence Pro</t>
        </is>
      </c>
      <c r="E934" s="200" t="inlineStr">
        <is>
          <t>Pearl White</t>
        </is>
      </c>
    </row>
    <row r="935" ht="15" customHeight="1">
      <c r="A935" s="196" t="n">
        <v>931</v>
      </c>
      <c r="B935" s="197" t="inlineStr">
        <is>
          <t>MG</t>
        </is>
      </c>
      <c r="C935" s="198" t="inlineStr">
        <is>
          <t>Windsor EV</t>
        </is>
      </c>
      <c r="D935" s="199" t="inlineStr">
        <is>
          <t>Windsor EV Essence Pro</t>
        </is>
      </c>
      <c r="E935" s="200" t="inlineStr">
        <is>
          <t>Starry Black</t>
        </is>
      </c>
    </row>
    <row r="936" ht="15" customHeight="1">
      <c r="A936" s="196" t="n">
        <v>932</v>
      </c>
      <c r="B936" s="197" t="inlineStr">
        <is>
          <t>MG</t>
        </is>
      </c>
      <c r="C936" s="198" t="inlineStr">
        <is>
          <t>Windsor EV</t>
        </is>
      </c>
      <c r="D936" s="199" t="inlineStr">
        <is>
          <t>Windsor EV Essence Pro</t>
        </is>
      </c>
      <c r="E936" s="200" t="inlineStr">
        <is>
          <t>Turquoise Green</t>
        </is>
      </c>
    </row>
    <row r="937" ht="15" customHeight="1">
      <c r="A937" s="196" t="n">
        <v>933</v>
      </c>
      <c r="B937" s="197" t="inlineStr">
        <is>
          <t>MG</t>
        </is>
      </c>
      <c r="C937" s="198" t="inlineStr">
        <is>
          <t>Windsor EV</t>
        </is>
      </c>
      <c r="D937" s="199" t="inlineStr">
        <is>
          <t>Windsor EV Excite</t>
        </is>
      </c>
      <c r="E937" s="200" t="inlineStr">
        <is>
          <t>Pearl White</t>
        </is>
      </c>
    </row>
    <row r="938" ht="15" customHeight="1">
      <c r="A938" s="196" t="n">
        <v>934</v>
      </c>
      <c r="B938" s="197" t="inlineStr">
        <is>
          <t>MG</t>
        </is>
      </c>
      <c r="C938" s="198" t="inlineStr">
        <is>
          <t>Windsor EV</t>
        </is>
      </c>
      <c r="D938" s="199" t="inlineStr">
        <is>
          <t>Windsor EV Exclusive</t>
        </is>
      </c>
      <c r="E938" s="200" t="inlineStr">
        <is>
          <t>Pearl White</t>
        </is>
      </c>
    </row>
    <row r="939" ht="15" customHeight="1">
      <c r="A939" s="196" t="n">
        <v>935</v>
      </c>
      <c r="B939" s="197" t="inlineStr">
        <is>
          <t>MG</t>
        </is>
      </c>
      <c r="C939" s="198" t="inlineStr">
        <is>
          <t>Windsor EV</t>
        </is>
      </c>
      <c r="D939" s="199" t="inlineStr">
        <is>
          <t>Windsor EV Exclusive</t>
        </is>
      </c>
      <c r="E939" s="200" t="inlineStr">
        <is>
          <t>Starry Black</t>
        </is>
      </c>
    </row>
    <row r="940" ht="15" customHeight="1">
      <c r="A940" s="196" t="n">
        <v>936</v>
      </c>
      <c r="B940" s="197" t="inlineStr">
        <is>
          <t>MG</t>
        </is>
      </c>
      <c r="C940" s="198" t="inlineStr">
        <is>
          <t>Windsor EV</t>
        </is>
      </c>
      <c r="D940" s="199" t="inlineStr">
        <is>
          <t>Windsor EV Exclusive Pro</t>
        </is>
      </c>
      <c r="E940" s="200" t="inlineStr">
        <is>
          <t>Pearl White</t>
        </is>
      </c>
    </row>
    <row r="941" ht="15" customHeight="1">
      <c r="A941" s="196" t="n">
        <v>937</v>
      </c>
      <c r="B941" s="197" t="inlineStr">
        <is>
          <t>MG</t>
        </is>
      </c>
      <c r="C941" s="198" t="inlineStr">
        <is>
          <t>Windsor EV</t>
        </is>
      </c>
      <c r="D941" s="199" t="inlineStr">
        <is>
          <t>Windsor EV Exclusive Pro</t>
        </is>
      </c>
      <c r="E941" s="200" t="inlineStr">
        <is>
          <t>Starry Black</t>
        </is>
      </c>
    </row>
    <row r="942" ht="15" customHeight="1">
      <c r="A942" s="196" t="n">
        <v>938</v>
      </c>
      <c r="B942" s="197" t="inlineStr">
        <is>
          <t>MG</t>
        </is>
      </c>
      <c r="C942" s="198" t="inlineStr">
        <is>
          <t>Windsor EV</t>
        </is>
      </c>
      <c r="D942" s="199" t="inlineStr">
        <is>
          <t>Windsor EV Exclusive Pro</t>
        </is>
      </c>
      <c r="E942" s="200" t="inlineStr">
        <is>
          <t>Turquoise Green</t>
        </is>
      </c>
    </row>
    <row r="943" ht="15" customHeight="1">
      <c r="A943" s="196" t="n">
        <v>939</v>
      </c>
      <c r="B943" s="197" t="inlineStr">
        <is>
          <t>MG</t>
        </is>
      </c>
      <c r="C943" s="198" t="inlineStr">
        <is>
          <t>Windsor EV</t>
        </is>
      </c>
      <c r="D943" s="199" t="inlineStr">
        <is>
          <t>Windsor EV Inspire Limited</t>
        </is>
      </c>
      <c r="E943" s="200" t="inlineStr">
        <is>
          <t>Pearl White</t>
        </is>
      </c>
    </row>
    <row r="944" ht="15" customHeight="1">
      <c r="A944" s="196" t="n">
        <v>940</v>
      </c>
      <c r="B944" s="197" t="inlineStr">
        <is>
          <t>MG</t>
        </is>
      </c>
      <c r="C944" s="198" t="inlineStr">
        <is>
          <t>ZS EV</t>
        </is>
      </c>
      <c r="D944" s="199" t="inlineStr">
        <is>
          <t>ZS EV 100-Year</t>
        </is>
      </c>
      <c r="E944" s="200" t="inlineStr">
        <is>
          <t>Green with Black roof</t>
        </is>
      </c>
    </row>
    <row r="945" ht="15" customHeight="1">
      <c r="A945" s="196" t="n">
        <v>941</v>
      </c>
      <c r="B945" s="197" t="inlineStr">
        <is>
          <t>MG</t>
        </is>
      </c>
      <c r="C945" s="198" t="inlineStr">
        <is>
          <t>ZS EV</t>
        </is>
      </c>
      <c r="D945" s="199" t="inlineStr">
        <is>
          <t>ZS EV Essence</t>
        </is>
      </c>
      <c r="E945" s="200" t="inlineStr">
        <is>
          <t>Aurora Silver</t>
        </is>
      </c>
    </row>
    <row r="946" ht="15" customHeight="1">
      <c r="A946" s="196" t="n">
        <v>942</v>
      </c>
      <c r="B946" s="197" t="inlineStr">
        <is>
          <t>MG</t>
        </is>
      </c>
      <c r="C946" s="198" t="inlineStr">
        <is>
          <t>ZS EV</t>
        </is>
      </c>
      <c r="D946" s="199" t="inlineStr">
        <is>
          <t>ZS EV Essence</t>
        </is>
      </c>
      <c r="E946" s="200" t="inlineStr">
        <is>
          <t>Candy White</t>
        </is>
      </c>
    </row>
    <row r="947" ht="15" customHeight="1">
      <c r="A947" s="196" t="n">
        <v>943</v>
      </c>
      <c r="B947" s="197" t="inlineStr">
        <is>
          <t>MG</t>
        </is>
      </c>
      <c r="C947" s="198" t="inlineStr">
        <is>
          <t>ZS EV</t>
        </is>
      </c>
      <c r="D947" s="199" t="inlineStr">
        <is>
          <t>ZS EV Essence</t>
        </is>
      </c>
      <c r="E947" s="200" t="inlineStr">
        <is>
          <t>Glaze Red</t>
        </is>
      </c>
    </row>
    <row r="948" ht="15" customHeight="1">
      <c r="A948" s="196" t="n">
        <v>944</v>
      </c>
      <c r="B948" s="197" t="inlineStr">
        <is>
          <t>MG</t>
        </is>
      </c>
      <c r="C948" s="198" t="inlineStr">
        <is>
          <t>ZS EV</t>
        </is>
      </c>
      <c r="D948" s="199" t="inlineStr">
        <is>
          <t>ZS EV Essence</t>
        </is>
      </c>
      <c r="E948" s="200" t="inlineStr">
        <is>
          <t>Starry Black</t>
        </is>
      </c>
    </row>
    <row r="949" ht="15" customHeight="1">
      <c r="A949" s="196" t="n">
        <v>945</v>
      </c>
      <c r="B949" s="197" t="inlineStr">
        <is>
          <t>MG</t>
        </is>
      </c>
      <c r="C949" s="198" t="inlineStr">
        <is>
          <t>ZS EV</t>
        </is>
      </c>
      <c r="D949" s="199" t="inlineStr">
        <is>
          <t>ZS EV Excite Pro</t>
        </is>
      </c>
      <c r="E949" s="200" t="inlineStr">
        <is>
          <t>Aurora Silver</t>
        </is>
      </c>
    </row>
    <row r="950" ht="15" customHeight="1">
      <c r="A950" s="196" t="n">
        <v>946</v>
      </c>
      <c r="B950" s="197" t="inlineStr">
        <is>
          <t>MG</t>
        </is>
      </c>
      <c r="C950" s="198" t="inlineStr">
        <is>
          <t>ZS EV</t>
        </is>
      </c>
      <c r="D950" s="199" t="inlineStr">
        <is>
          <t>ZS EV Excite Pro</t>
        </is>
      </c>
      <c r="E950" s="200" t="inlineStr">
        <is>
          <t>Candy White</t>
        </is>
      </c>
    </row>
    <row r="951" ht="15" customHeight="1">
      <c r="A951" s="196" t="n">
        <v>947</v>
      </c>
      <c r="B951" s="197" t="inlineStr">
        <is>
          <t>MG</t>
        </is>
      </c>
      <c r="C951" s="198" t="inlineStr">
        <is>
          <t>ZS EV</t>
        </is>
      </c>
      <c r="D951" s="199" t="inlineStr">
        <is>
          <t>ZS EV Excite Pro</t>
        </is>
      </c>
      <c r="E951" s="200" t="inlineStr">
        <is>
          <t>Glaze Red</t>
        </is>
      </c>
    </row>
    <row r="952" ht="15" customHeight="1">
      <c r="A952" s="196" t="n">
        <v>948</v>
      </c>
      <c r="B952" s="197" t="inlineStr">
        <is>
          <t>MG</t>
        </is>
      </c>
      <c r="C952" s="198" t="inlineStr">
        <is>
          <t>ZS EV</t>
        </is>
      </c>
      <c r="D952" s="199" t="inlineStr">
        <is>
          <t>ZS EV Excite Pro</t>
        </is>
      </c>
      <c r="E952" s="200" t="inlineStr">
        <is>
          <t>Starry Black</t>
        </is>
      </c>
    </row>
    <row r="953" ht="15" customHeight="1">
      <c r="A953" s="196" t="n">
        <v>949</v>
      </c>
      <c r="B953" s="197" t="inlineStr">
        <is>
          <t>MG</t>
        </is>
      </c>
      <c r="C953" s="198" t="inlineStr">
        <is>
          <t>ZS EV</t>
        </is>
      </c>
      <c r="D953" s="199" t="inlineStr">
        <is>
          <t>ZS EV Exclusive Plus</t>
        </is>
      </c>
      <c r="E953" s="200" t="inlineStr">
        <is>
          <t>Aurora Silver</t>
        </is>
      </c>
    </row>
    <row r="954" ht="15" customHeight="1">
      <c r="A954" s="196" t="n">
        <v>950</v>
      </c>
      <c r="B954" s="197" t="inlineStr">
        <is>
          <t>MG</t>
        </is>
      </c>
      <c r="C954" s="198" t="inlineStr">
        <is>
          <t>ZS EV</t>
        </is>
      </c>
      <c r="D954" s="199" t="inlineStr">
        <is>
          <t>ZS EV Exclusive Plus</t>
        </is>
      </c>
      <c r="E954" s="200" t="inlineStr">
        <is>
          <t>Candy White</t>
        </is>
      </c>
    </row>
    <row r="955" ht="15" customHeight="1">
      <c r="A955" s="196" t="n">
        <v>951</v>
      </c>
      <c r="B955" s="197" t="inlineStr">
        <is>
          <t>MG</t>
        </is>
      </c>
      <c r="C955" s="198" t="inlineStr">
        <is>
          <t>ZS EV</t>
        </is>
      </c>
      <c r="D955" s="199" t="inlineStr">
        <is>
          <t>ZS EV Exclusive Plus</t>
        </is>
      </c>
      <c r="E955" s="200" t="inlineStr">
        <is>
          <t>Glaze Red</t>
        </is>
      </c>
    </row>
    <row r="956" ht="15" customHeight="1">
      <c r="A956" s="196" t="n">
        <v>952</v>
      </c>
      <c r="B956" s="197" t="inlineStr">
        <is>
          <t>MG</t>
        </is>
      </c>
      <c r="C956" s="198" t="inlineStr">
        <is>
          <t>ZS EV</t>
        </is>
      </c>
      <c r="D956" s="199" t="inlineStr">
        <is>
          <t>ZS EV Exclusive Plus</t>
        </is>
      </c>
      <c r="E956" s="200" t="inlineStr">
        <is>
          <t>Starry Black</t>
        </is>
      </c>
    </row>
    <row r="957" ht="15" customHeight="1">
      <c r="A957" s="196" t="n">
        <v>953</v>
      </c>
      <c r="B957" s="197" t="inlineStr">
        <is>
          <t>MG</t>
        </is>
      </c>
      <c r="C957" s="198" t="inlineStr">
        <is>
          <t>ZS EV</t>
        </is>
      </c>
      <c r="D957" s="199" t="inlineStr">
        <is>
          <t>ZS EV Executive</t>
        </is>
      </c>
      <c r="E957" s="200" t="inlineStr">
        <is>
          <t>Aurora Silver</t>
        </is>
      </c>
    </row>
    <row r="958" ht="15" customHeight="1">
      <c r="A958" s="196" t="n">
        <v>954</v>
      </c>
      <c r="B958" s="197" t="inlineStr">
        <is>
          <t>MG</t>
        </is>
      </c>
      <c r="C958" s="198" t="inlineStr">
        <is>
          <t>ZS EV</t>
        </is>
      </c>
      <c r="D958" s="199" t="inlineStr">
        <is>
          <t>ZS EV Executive</t>
        </is>
      </c>
      <c r="E958" s="200" t="inlineStr">
        <is>
          <t>Candy White</t>
        </is>
      </c>
    </row>
    <row r="959" ht="15" customHeight="1">
      <c r="A959" s="196" t="n">
        <v>955</v>
      </c>
      <c r="B959" s="197" t="inlineStr">
        <is>
          <t>MG</t>
        </is>
      </c>
      <c r="C959" s="198" t="inlineStr">
        <is>
          <t>ZS EV</t>
        </is>
      </c>
      <c r="D959" s="199" t="inlineStr">
        <is>
          <t>ZS EV Executive</t>
        </is>
      </c>
      <c r="E959" s="200" t="inlineStr">
        <is>
          <t>Starry Black</t>
        </is>
      </c>
    </row>
    <row r="960" ht="15" customHeight="1">
      <c r="A960" s="216" t="n">
        <v>956</v>
      </c>
      <c r="B960" s="217" t="inlineStr">
        <is>
          <t>Mahindra</t>
        </is>
      </c>
      <c r="C960" s="218" t="inlineStr">
        <is>
          <t>BE 6</t>
        </is>
      </c>
      <c r="D960" s="219" t="inlineStr">
        <is>
          <t>BE 6 Batman Edition</t>
        </is>
      </c>
      <c r="E960" s="220" t="inlineStr">
        <is>
          <t>Satin Black</t>
        </is>
      </c>
    </row>
    <row r="961" ht="15" customHeight="1">
      <c r="A961" s="216" t="n">
        <v>957</v>
      </c>
      <c r="B961" s="217" t="inlineStr">
        <is>
          <t>Mahindra</t>
        </is>
      </c>
      <c r="C961" s="218" t="inlineStr">
        <is>
          <t>BE 6</t>
        </is>
      </c>
      <c r="D961" s="219" t="inlineStr">
        <is>
          <t>BE 6 Pack One</t>
        </is>
      </c>
      <c r="E961" s="220" t="inlineStr">
        <is>
          <t>Deep Forest</t>
        </is>
      </c>
    </row>
    <row r="962" ht="15" customHeight="1">
      <c r="A962" s="216" t="n">
        <v>958</v>
      </c>
      <c r="B962" s="217" t="inlineStr">
        <is>
          <t>Mahindra</t>
        </is>
      </c>
      <c r="C962" s="218" t="inlineStr">
        <is>
          <t>BE 6</t>
        </is>
      </c>
      <c r="D962" s="219" t="inlineStr">
        <is>
          <t>BE 6 Pack One</t>
        </is>
      </c>
      <c r="E962" s="220" t="inlineStr">
        <is>
          <t>Desert Myst</t>
        </is>
      </c>
    </row>
    <row r="963" ht="15" customHeight="1">
      <c r="A963" s="216" t="n">
        <v>959</v>
      </c>
      <c r="B963" s="217" t="inlineStr">
        <is>
          <t>Mahindra</t>
        </is>
      </c>
      <c r="C963" s="218" t="inlineStr">
        <is>
          <t>BE 6</t>
        </is>
      </c>
      <c r="D963" s="219" t="inlineStr">
        <is>
          <t>BE 6 Pack One</t>
        </is>
      </c>
      <c r="E963" s="220" t="inlineStr">
        <is>
          <t>Desert Myst Satin</t>
        </is>
      </c>
    </row>
    <row r="964" ht="15" customHeight="1">
      <c r="A964" s="216" t="n">
        <v>960</v>
      </c>
      <c r="B964" s="217" t="inlineStr">
        <is>
          <t>Mahindra</t>
        </is>
      </c>
      <c r="C964" s="218" t="inlineStr">
        <is>
          <t>BE 6</t>
        </is>
      </c>
      <c r="D964" s="219" t="inlineStr">
        <is>
          <t>BE 6 Pack One</t>
        </is>
      </c>
      <c r="E964" s="220" t="inlineStr">
        <is>
          <t>Everest White</t>
        </is>
      </c>
    </row>
    <row r="965" ht="15" customHeight="1">
      <c r="A965" s="216" t="n">
        <v>961</v>
      </c>
      <c r="B965" s="217" t="inlineStr">
        <is>
          <t>Mahindra</t>
        </is>
      </c>
      <c r="C965" s="218" t="inlineStr">
        <is>
          <t>BE 6</t>
        </is>
      </c>
      <c r="D965" s="219" t="inlineStr">
        <is>
          <t>BE 6 Pack One</t>
        </is>
      </c>
      <c r="E965" s="220" t="inlineStr">
        <is>
          <t>Everest White Satin</t>
        </is>
      </c>
    </row>
    <row r="966" ht="15" customHeight="1">
      <c r="A966" s="216" t="n">
        <v>962</v>
      </c>
      <c r="B966" s="217" t="inlineStr">
        <is>
          <t>Mahindra</t>
        </is>
      </c>
      <c r="C966" s="218" t="inlineStr">
        <is>
          <t>BE 6</t>
        </is>
      </c>
      <c r="D966" s="219" t="inlineStr">
        <is>
          <t>BE 6 Pack One</t>
        </is>
      </c>
      <c r="E966" s="220" t="inlineStr">
        <is>
          <t>Firestorm Orange</t>
        </is>
      </c>
    </row>
    <row r="967" ht="15" customHeight="1">
      <c r="A967" s="216" t="n">
        <v>963</v>
      </c>
      <c r="B967" s="217" t="inlineStr">
        <is>
          <t>Mahindra</t>
        </is>
      </c>
      <c r="C967" s="218" t="inlineStr">
        <is>
          <t>BE 6</t>
        </is>
      </c>
      <c r="D967" s="219" t="inlineStr">
        <is>
          <t>BE 6 Pack One</t>
        </is>
      </c>
      <c r="E967" s="220" t="inlineStr">
        <is>
          <t>Stealth Black</t>
        </is>
      </c>
    </row>
    <row r="968" ht="15" customHeight="1">
      <c r="A968" s="216" t="n">
        <v>964</v>
      </c>
      <c r="B968" s="217" t="inlineStr">
        <is>
          <t>Mahindra</t>
        </is>
      </c>
      <c r="C968" s="218" t="inlineStr">
        <is>
          <t>BE 6</t>
        </is>
      </c>
      <c r="D968" s="219" t="inlineStr">
        <is>
          <t>BE 6 Pack One</t>
        </is>
      </c>
      <c r="E968" s="220" t="inlineStr">
        <is>
          <t>Tango Red</t>
        </is>
      </c>
    </row>
    <row r="969" ht="15" customHeight="1">
      <c r="A969" s="216" t="n">
        <v>965</v>
      </c>
      <c r="B969" s="217" t="inlineStr">
        <is>
          <t>Mahindra</t>
        </is>
      </c>
      <c r="C969" s="218" t="inlineStr">
        <is>
          <t>BE 6</t>
        </is>
      </c>
      <c r="D969" s="219" t="inlineStr">
        <is>
          <t>BE 6 Pack One Above</t>
        </is>
      </c>
      <c r="E969" s="220" t="inlineStr">
        <is>
          <t>Deep Forest</t>
        </is>
      </c>
    </row>
    <row r="970" ht="15" customHeight="1">
      <c r="A970" s="216" t="n">
        <v>966</v>
      </c>
      <c r="B970" s="217" t="inlineStr">
        <is>
          <t>Mahindra</t>
        </is>
      </c>
      <c r="C970" s="218" t="inlineStr">
        <is>
          <t>BE 6</t>
        </is>
      </c>
      <c r="D970" s="219" t="inlineStr">
        <is>
          <t>BE 6 Pack One Above</t>
        </is>
      </c>
      <c r="E970" s="220" t="inlineStr">
        <is>
          <t>Desert Myst</t>
        </is>
      </c>
    </row>
    <row r="971" ht="15" customHeight="1">
      <c r="A971" s="216" t="n">
        <v>967</v>
      </c>
      <c r="B971" s="217" t="inlineStr">
        <is>
          <t>Mahindra</t>
        </is>
      </c>
      <c r="C971" s="218" t="inlineStr">
        <is>
          <t>BE 6</t>
        </is>
      </c>
      <c r="D971" s="219" t="inlineStr">
        <is>
          <t>BE 6 Pack One Above</t>
        </is>
      </c>
      <c r="E971" s="220" t="inlineStr">
        <is>
          <t>Desert Myst Satin</t>
        </is>
      </c>
    </row>
    <row r="972" ht="15" customHeight="1">
      <c r="A972" s="216" t="n">
        <v>968</v>
      </c>
      <c r="B972" s="217" t="inlineStr">
        <is>
          <t>Mahindra</t>
        </is>
      </c>
      <c r="C972" s="218" t="inlineStr">
        <is>
          <t>BE 6</t>
        </is>
      </c>
      <c r="D972" s="219" t="inlineStr">
        <is>
          <t>BE 6 Pack One Above</t>
        </is>
      </c>
      <c r="E972" s="220" t="inlineStr">
        <is>
          <t>Everest White</t>
        </is>
      </c>
    </row>
    <row r="973" ht="15" customHeight="1">
      <c r="A973" s="216" t="n">
        <v>969</v>
      </c>
      <c r="B973" s="217" t="inlineStr">
        <is>
          <t>Mahindra</t>
        </is>
      </c>
      <c r="C973" s="218" t="inlineStr">
        <is>
          <t>BE 6</t>
        </is>
      </c>
      <c r="D973" s="219" t="inlineStr">
        <is>
          <t>BE 6 Pack One Above</t>
        </is>
      </c>
      <c r="E973" s="220" t="inlineStr">
        <is>
          <t>Everest White Satin</t>
        </is>
      </c>
    </row>
    <row r="974" ht="15" customHeight="1">
      <c r="A974" s="216" t="n">
        <v>970</v>
      </c>
      <c r="B974" s="217" t="inlineStr">
        <is>
          <t>Mahindra</t>
        </is>
      </c>
      <c r="C974" s="218" t="inlineStr">
        <is>
          <t>BE 6</t>
        </is>
      </c>
      <c r="D974" s="219" t="inlineStr">
        <is>
          <t>BE 6 Pack One Above</t>
        </is>
      </c>
      <c r="E974" s="220" t="inlineStr">
        <is>
          <t>Firestorm Orange</t>
        </is>
      </c>
    </row>
    <row r="975" ht="15" customHeight="1">
      <c r="A975" s="216" t="n">
        <v>971</v>
      </c>
      <c r="B975" s="217" t="inlineStr">
        <is>
          <t>Mahindra</t>
        </is>
      </c>
      <c r="C975" s="218" t="inlineStr">
        <is>
          <t>BE 6</t>
        </is>
      </c>
      <c r="D975" s="219" t="inlineStr">
        <is>
          <t>BE 6 Pack One Above</t>
        </is>
      </c>
      <c r="E975" s="220" t="inlineStr">
        <is>
          <t>Stealth Black</t>
        </is>
      </c>
    </row>
    <row r="976" ht="15" customHeight="1">
      <c r="A976" s="216" t="n">
        <v>972</v>
      </c>
      <c r="B976" s="217" t="inlineStr">
        <is>
          <t>Mahindra</t>
        </is>
      </c>
      <c r="C976" s="218" t="inlineStr">
        <is>
          <t>BE 6</t>
        </is>
      </c>
      <c r="D976" s="219" t="inlineStr">
        <is>
          <t>BE 6 Pack One Above</t>
        </is>
      </c>
      <c r="E976" s="220" t="inlineStr">
        <is>
          <t>Tango Red</t>
        </is>
      </c>
    </row>
    <row r="977" ht="15" customHeight="1">
      <c r="A977" s="216" t="n">
        <v>973</v>
      </c>
      <c r="B977" s="217" t="inlineStr">
        <is>
          <t>Mahindra</t>
        </is>
      </c>
      <c r="C977" s="218" t="inlineStr">
        <is>
          <t>BE 6</t>
        </is>
      </c>
      <c r="D977" s="219" t="inlineStr">
        <is>
          <t>BE 6 Pack Three</t>
        </is>
      </c>
      <c r="E977" s="220" t="inlineStr">
        <is>
          <t>Deep Forest</t>
        </is>
      </c>
    </row>
    <row r="978" ht="15" customHeight="1">
      <c r="A978" s="216" t="n">
        <v>974</v>
      </c>
      <c r="B978" s="217" t="inlineStr">
        <is>
          <t>Mahindra</t>
        </is>
      </c>
      <c r="C978" s="218" t="inlineStr">
        <is>
          <t>BE 6</t>
        </is>
      </c>
      <c r="D978" s="219" t="inlineStr">
        <is>
          <t>BE 6 Pack Three</t>
        </is>
      </c>
      <c r="E978" s="220" t="inlineStr">
        <is>
          <t>Desert Myst</t>
        </is>
      </c>
    </row>
    <row r="979" ht="15" customHeight="1">
      <c r="A979" s="216" t="n">
        <v>975</v>
      </c>
      <c r="B979" s="217" t="inlineStr">
        <is>
          <t>Mahindra</t>
        </is>
      </c>
      <c r="C979" s="218" t="inlineStr">
        <is>
          <t>BE 6</t>
        </is>
      </c>
      <c r="D979" s="219" t="inlineStr">
        <is>
          <t>BE 6 Pack Three</t>
        </is>
      </c>
      <c r="E979" s="220" t="inlineStr">
        <is>
          <t>Desert Myst Satin</t>
        </is>
      </c>
    </row>
    <row r="980" ht="15" customHeight="1">
      <c r="A980" s="216" t="n">
        <v>976</v>
      </c>
      <c r="B980" s="217" t="inlineStr">
        <is>
          <t>Mahindra</t>
        </is>
      </c>
      <c r="C980" s="218" t="inlineStr">
        <is>
          <t>BE 6</t>
        </is>
      </c>
      <c r="D980" s="219" t="inlineStr">
        <is>
          <t>BE 6 Pack Three</t>
        </is>
      </c>
      <c r="E980" s="220" t="inlineStr">
        <is>
          <t>Everest White</t>
        </is>
      </c>
    </row>
    <row r="981" ht="15" customHeight="1">
      <c r="A981" s="216" t="n">
        <v>977</v>
      </c>
      <c r="B981" s="217" t="inlineStr">
        <is>
          <t>Mahindra</t>
        </is>
      </c>
      <c r="C981" s="218" t="inlineStr">
        <is>
          <t>BE 6</t>
        </is>
      </c>
      <c r="D981" s="219" t="inlineStr">
        <is>
          <t>BE 6 Pack Three</t>
        </is>
      </c>
      <c r="E981" s="220" t="inlineStr">
        <is>
          <t>Everest White Satin</t>
        </is>
      </c>
    </row>
    <row r="982" ht="15" customHeight="1">
      <c r="A982" s="216" t="n">
        <v>978</v>
      </c>
      <c r="B982" s="217" t="inlineStr">
        <is>
          <t>Mahindra</t>
        </is>
      </c>
      <c r="C982" s="218" t="inlineStr">
        <is>
          <t>BE 6</t>
        </is>
      </c>
      <c r="D982" s="219" t="inlineStr">
        <is>
          <t>BE 6 Pack Three</t>
        </is>
      </c>
      <c r="E982" s="220" t="inlineStr">
        <is>
          <t>Firestorm Orange</t>
        </is>
      </c>
    </row>
    <row r="983" ht="15" customHeight="1">
      <c r="A983" s="216" t="n">
        <v>979</v>
      </c>
      <c r="B983" s="217" t="inlineStr">
        <is>
          <t>Mahindra</t>
        </is>
      </c>
      <c r="C983" s="218" t="inlineStr">
        <is>
          <t>BE 6</t>
        </is>
      </c>
      <c r="D983" s="219" t="inlineStr">
        <is>
          <t>BE 6 Pack Three</t>
        </is>
      </c>
      <c r="E983" s="220" t="inlineStr">
        <is>
          <t>Stealth Black</t>
        </is>
      </c>
    </row>
    <row r="984" ht="15" customHeight="1">
      <c r="A984" s="216" t="n">
        <v>980</v>
      </c>
      <c r="B984" s="217" t="inlineStr">
        <is>
          <t>Mahindra</t>
        </is>
      </c>
      <c r="C984" s="218" t="inlineStr">
        <is>
          <t>BE 6</t>
        </is>
      </c>
      <c r="D984" s="219" t="inlineStr">
        <is>
          <t>BE 6 Pack Three</t>
        </is>
      </c>
      <c r="E984" s="220" t="inlineStr">
        <is>
          <t>Tango Red</t>
        </is>
      </c>
    </row>
    <row r="985" ht="15" customHeight="1">
      <c r="A985" s="216" t="n">
        <v>981</v>
      </c>
      <c r="B985" s="217" t="inlineStr">
        <is>
          <t>Mahindra</t>
        </is>
      </c>
      <c r="C985" s="218" t="inlineStr">
        <is>
          <t>BE 6</t>
        </is>
      </c>
      <c r="D985" s="219" t="inlineStr">
        <is>
          <t>BE 6 Pack Three Select</t>
        </is>
      </c>
      <c r="E985" s="220" t="inlineStr">
        <is>
          <t>Deep Forest</t>
        </is>
      </c>
    </row>
    <row r="986" ht="15" customHeight="1">
      <c r="A986" s="216" t="n">
        <v>982</v>
      </c>
      <c r="B986" s="217" t="inlineStr">
        <is>
          <t>Mahindra</t>
        </is>
      </c>
      <c r="C986" s="218" t="inlineStr">
        <is>
          <t>BE 6</t>
        </is>
      </c>
      <c r="D986" s="219" t="inlineStr">
        <is>
          <t>BE 6 Pack Three Select</t>
        </is>
      </c>
      <c r="E986" s="220" t="inlineStr">
        <is>
          <t>Desert Myst</t>
        </is>
      </c>
    </row>
    <row r="987" ht="15" customHeight="1">
      <c r="A987" s="216" t="n">
        <v>983</v>
      </c>
      <c r="B987" s="217" t="inlineStr">
        <is>
          <t>Mahindra</t>
        </is>
      </c>
      <c r="C987" s="218" t="inlineStr">
        <is>
          <t>BE 6</t>
        </is>
      </c>
      <c r="D987" s="219" t="inlineStr">
        <is>
          <t>BE 6 Pack Three Select</t>
        </is>
      </c>
      <c r="E987" s="220" t="inlineStr">
        <is>
          <t>Desert Myst Satin</t>
        </is>
      </c>
    </row>
    <row r="988" ht="15" customHeight="1">
      <c r="A988" s="216" t="n">
        <v>984</v>
      </c>
      <c r="B988" s="217" t="inlineStr">
        <is>
          <t>Mahindra</t>
        </is>
      </c>
      <c r="C988" s="218" t="inlineStr">
        <is>
          <t>BE 6</t>
        </is>
      </c>
      <c r="D988" s="219" t="inlineStr">
        <is>
          <t>BE 6 Pack Three Select</t>
        </is>
      </c>
      <c r="E988" s="220" t="inlineStr">
        <is>
          <t>Everest White</t>
        </is>
      </c>
    </row>
    <row r="989" ht="15" customHeight="1">
      <c r="A989" s="216" t="n">
        <v>985</v>
      </c>
      <c r="B989" s="217" t="inlineStr">
        <is>
          <t>Mahindra</t>
        </is>
      </c>
      <c r="C989" s="218" t="inlineStr">
        <is>
          <t>BE 6</t>
        </is>
      </c>
      <c r="D989" s="219" t="inlineStr">
        <is>
          <t>BE 6 Pack Three Select</t>
        </is>
      </c>
      <c r="E989" s="220" t="inlineStr">
        <is>
          <t>Everest White Satin</t>
        </is>
      </c>
    </row>
    <row r="990" ht="15" customHeight="1">
      <c r="A990" s="216" t="n">
        <v>986</v>
      </c>
      <c r="B990" s="217" t="inlineStr">
        <is>
          <t>Mahindra</t>
        </is>
      </c>
      <c r="C990" s="218" t="inlineStr">
        <is>
          <t>BE 6</t>
        </is>
      </c>
      <c r="D990" s="219" t="inlineStr">
        <is>
          <t>BE 6 Pack Three Select</t>
        </is>
      </c>
      <c r="E990" s="220" t="inlineStr">
        <is>
          <t>Firestorm Orange</t>
        </is>
      </c>
    </row>
    <row r="991" ht="15" customHeight="1">
      <c r="A991" s="216" t="n">
        <v>987</v>
      </c>
      <c r="B991" s="217" t="inlineStr">
        <is>
          <t>Mahindra</t>
        </is>
      </c>
      <c r="C991" s="218" t="inlineStr">
        <is>
          <t>BE 6</t>
        </is>
      </c>
      <c r="D991" s="219" t="inlineStr">
        <is>
          <t>BE 6 Pack Three Select</t>
        </is>
      </c>
      <c r="E991" s="220" t="inlineStr">
        <is>
          <t>Stealth Black</t>
        </is>
      </c>
    </row>
    <row r="992" ht="15" customHeight="1">
      <c r="A992" s="216" t="n">
        <v>988</v>
      </c>
      <c r="B992" s="217" t="inlineStr">
        <is>
          <t>Mahindra</t>
        </is>
      </c>
      <c r="C992" s="218" t="inlineStr">
        <is>
          <t>BE 6</t>
        </is>
      </c>
      <c r="D992" s="219" t="inlineStr">
        <is>
          <t>BE 6 Pack Three Select</t>
        </is>
      </c>
      <c r="E992" s="220" t="inlineStr">
        <is>
          <t>Tango Red</t>
        </is>
      </c>
    </row>
    <row r="993" ht="15" customHeight="1">
      <c r="A993" s="216" t="n">
        <v>989</v>
      </c>
      <c r="B993" s="217" t="inlineStr">
        <is>
          <t>Mahindra</t>
        </is>
      </c>
      <c r="C993" s="218" t="inlineStr">
        <is>
          <t>BE 6</t>
        </is>
      </c>
      <c r="D993" s="219" t="inlineStr">
        <is>
          <t>BE 6 Pack Two</t>
        </is>
      </c>
      <c r="E993" s="220" t="inlineStr">
        <is>
          <t>Deep Forest</t>
        </is>
      </c>
    </row>
    <row r="994" ht="15" customHeight="1">
      <c r="A994" s="216" t="n">
        <v>990</v>
      </c>
      <c r="B994" s="217" t="inlineStr">
        <is>
          <t>Mahindra</t>
        </is>
      </c>
      <c r="C994" s="218" t="inlineStr">
        <is>
          <t>BE 6</t>
        </is>
      </c>
      <c r="D994" s="219" t="inlineStr">
        <is>
          <t>BE 6 Pack Two</t>
        </is>
      </c>
      <c r="E994" s="220" t="inlineStr">
        <is>
          <t>Desert Myst</t>
        </is>
      </c>
    </row>
    <row r="995" ht="15" customHeight="1">
      <c r="A995" s="216" t="n">
        <v>991</v>
      </c>
      <c r="B995" s="217" t="inlineStr">
        <is>
          <t>Mahindra</t>
        </is>
      </c>
      <c r="C995" s="218" t="inlineStr">
        <is>
          <t>BE 6</t>
        </is>
      </c>
      <c r="D995" s="219" t="inlineStr">
        <is>
          <t>BE 6 Pack Two</t>
        </is>
      </c>
      <c r="E995" s="220" t="inlineStr">
        <is>
          <t>Desert Myst Satin</t>
        </is>
      </c>
    </row>
    <row r="996" ht="15" customHeight="1">
      <c r="A996" s="216" t="n">
        <v>992</v>
      </c>
      <c r="B996" s="217" t="inlineStr">
        <is>
          <t>Mahindra</t>
        </is>
      </c>
      <c r="C996" s="218" t="inlineStr">
        <is>
          <t>BE 6</t>
        </is>
      </c>
      <c r="D996" s="219" t="inlineStr">
        <is>
          <t>BE 6 Pack Two</t>
        </is>
      </c>
      <c r="E996" s="220" t="inlineStr">
        <is>
          <t>Everest White</t>
        </is>
      </c>
    </row>
    <row r="997" ht="15" customHeight="1">
      <c r="A997" s="216" t="n">
        <v>993</v>
      </c>
      <c r="B997" s="217" t="inlineStr">
        <is>
          <t>Mahindra</t>
        </is>
      </c>
      <c r="C997" s="218" t="inlineStr">
        <is>
          <t>BE 6</t>
        </is>
      </c>
      <c r="D997" s="219" t="inlineStr">
        <is>
          <t>BE 6 Pack Two</t>
        </is>
      </c>
      <c r="E997" s="220" t="inlineStr">
        <is>
          <t>Everest White Satin</t>
        </is>
      </c>
    </row>
    <row r="998" ht="15" customHeight="1">
      <c r="A998" s="216" t="n">
        <v>994</v>
      </c>
      <c r="B998" s="217" t="inlineStr">
        <is>
          <t>Mahindra</t>
        </is>
      </c>
      <c r="C998" s="218" t="inlineStr">
        <is>
          <t>BE 6</t>
        </is>
      </c>
      <c r="D998" s="219" t="inlineStr">
        <is>
          <t>BE 6 Pack Two</t>
        </is>
      </c>
      <c r="E998" s="220" t="inlineStr">
        <is>
          <t>Firestorm Orange</t>
        </is>
      </c>
    </row>
    <row r="999" ht="15" customHeight="1">
      <c r="A999" s="216" t="n">
        <v>995</v>
      </c>
      <c r="B999" s="217" t="inlineStr">
        <is>
          <t>Mahindra</t>
        </is>
      </c>
      <c r="C999" s="218" t="inlineStr">
        <is>
          <t>BE 6</t>
        </is>
      </c>
      <c r="D999" s="219" t="inlineStr">
        <is>
          <t>BE 6 Pack Two</t>
        </is>
      </c>
      <c r="E999" s="220" t="inlineStr">
        <is>
          <t>Stealth Black</t>
        </is>
      </c>
    </row>
    <row r="1000" ht="15" customHeight="1">
      <c r="A1000" s="216" t="n">
        <v>996</v>
      </c>
      <c r="B1000" s="217" t="inlineStr">
        <is>
          <t>Mahindra</t>
        </is>
      </c>
      <c r="C1000" s="218" t="inlineStr">
        <is>
          <t>BE 6</t>
        </is>
      </c>
      <c r="D1000" s="219" t="inlineStr">
        <is>
          <t>BE 6 Pack Two</t>
        </is>
      </c>
      <c r="E1000" s="220" t="inlineStr">
        <is>
          <t>Tango Red</t>
        </is>
      </c>
    </row>
    <row r="1001" ht="15" customHeight="1">
      <c r="A1001" s="216" t="n">
        <v>997</v>
      </c>
      <c r="B1001" s="217" t="inlineStr">
        <is>
          <t>Mahindra</t>
        </is>
      </c>
      <c r="C1001" s="218" t="inlineStr">
        <is>
          <t>Bolero</t>
        </is>
      </c>
      <c r="D1001" s="219" t="inlineStr">
        <is>
          <t>Bolero B4</t>
        </is>
      </c>
      <c r="E1001" s="220" t="inlineStr">
        <is>
          <t>Diamond White</t>
        </is>
      </c>
    </row>
    <row r="1002" ht="15" customHeight="1">
      <c r="A1002" s="216" t="n">
        <v>998</v>
      </c>
      <c r="B1002" s="217" t="inlineStr">
        <is>
          <t>Mahindra</t>
        </is>
      </c>
      <c r="C1002" s="218" t="inlineStr">
        <is>
          <t>Bolero</t>
        </is>
      </c>
      <c r="D1002" s="219" t="inlineStr">
        <is>
          <t>Bolero B4</t>
        </is>
      </c>
      <c r="E1002" s="220" t="inlineStr">
        <is>
          <t>Dsat Silver</t>
        </is>
      </c>
    </row>
    <row r="1003" ht="15" customHeight="1">
      <c r="A1003" s="216" t="n">
        <v>999</v>
      </c>
      <c r="B1003" s="217" t="inlineStr">
        <is>
          <t>Mahindra</t>
        </is>
      </c>
      <c r="C1003" s="218" t="inlineStr">
        <is>
          <t>Bolero</t>
        </is>
      </c>
      <c r="D1003" s="219" t="inlineStr">
        <is>
          <t>Bolero B4</t>
        </is>
      </c>
      <c r="E1003" s="220" t="inlineStr">
        <is>
          <t>Rocky Beige</t>
        </is>
      </c>
    </row>
    <row r="1004" ht="15" customHeight="1">
      <c r="A1004" s="216" t="n">
        <v>1000</v>
      </c>
      <c r="B1004" s="217" t="inlineStr">
        <is>
          <t>Mahindra</t>
        </is>
      </c>
      <c r="C1004" s="218" t="inlineStr">
        <is>
          <t>Bolero</t>
        </is>
      </c>
      <c r="D1004" s="219" t="inlineStr">
        <is>
          <t>Bolero B4</t>
        </is>
      </c>
      <c r="E1004" s="220" t="inlineStr">
        <is>
          <t>Stealth Black</t>
        </is>
      </c>
    </row>
    <row r="1005" ht="15" customHeight="1">
      <c r="A1005" s="216" t="n">
        <v>1001</v>
      </c>
      <c r="B1005" s="217" t="inlineStr">
        <is>
          <t>Mahindra</t>
        </is>
      </c>
      <c r="C1005" s="218" t="inlineStr">
        <is>
          <t>Bolero</t>
        </is>
      </c>
      <c r="D1005" s="219" t="inlineStr">
        <is>
          <t>Bolero B6</t>
        </is>
      </c>
      <c r="E1005" s="220" t="inlineStr">
        <is>
          <t>Diamond White</t>
        </is>
      </c>
    </row>
    <row r="1006" ht="15" customHeight="1">
      <c r="A1006" s="216" t="n">
        <v>1002</v>
      </c>
      <c r="B1006" s="217" t="inlineStr">
        <is>
          <t>Mahindra</t>
        </is>
      </c>
      <c r="C1006" s="218" t="inlineStr">
        <is>
          <t>Bolero</t>
        </is>
      </c>
      <c r="D1006" s="219" t="inlineStr">
        <is>
          <t>Bolero B6</t>
        </is>
      </c>
      <c r="E1006" s="220" t="inlineStr">
        <is>
          <t>Dsat Silver</t>
        </is>
      </c>
    </row>
    <row r="1007" ht="15" customHeight="1">
      <c r="A1007" s="216" t="n">
        <v>1003</v>
      </c>
      <c r="B1007" s="217" t="inlineStr">
        <is>
          <t>Mahindra</t>
        </is>
      </c>
      <c r="C1007" s="218" t="inlineStr">
        <is>
          <t>Bolero</t>
        </is>
      </c>
      <c r="D1007" s="219" t="inlineStr">
        <is>
          <t>Bolero B6</t>
        </is>
      </c>
      <c r="E1007" s="220" t="inlineStr">
        <is>
          <t>Rocky Beige</t>
        </is>
      </c>
    </row>
    <row r="1008" ht="15" customHeight="1">
      <c r="A1008" s="216" t="n">
        <v>1004</v>
      </c>
      <c r="B1008" s="217" t="inlineStr">
        <is>
          <t>Mahindra</t>
        </is>
      </c>
      <c r="C1008" s="218" t="inlineStr">
        <is>
          <t>Bolero</t>
        </is>
      </c>
      <c r="D1008" s="219" t="inlineStr">
        <is>
          <t>Bolero B6</t>
        </is>
      </c>
      <c r="E1008" s="220" t="inlineStr">
        <is>
          <t>Stealth Black</t>
        </is>
      </c>
    </row>
    <row r="1009" ht="15" customHeight="1">
      <c r="A1009" s="216" t="n">
        <v>1005</v>
      </c>
      <c r="B1009" s="217" t="inlineStr">
        <is>
          <t>Mahindra</t>
        </is>
      </c>
      <c r="C1009" s="218" t="inlineStr">
        <is>
          <t>Bolero</t>
        </is>
      </c>
      <c r="D1009" s="219" t="inlineStr">
        <is>
          <t>Bolero B6 (O)</t>
        </is>
      </c>
      <c r="E1009" s="220" t="inlineStr">
        <is>
          <t>Diamond White</t>
        </is>
      </c>
    </row>
    <row r="1010" ht="15" customHeight="1">
      <c r="A1010" s="216" t="n">
        <v>1006</v>
      </c>
      <c r="B1010" s="217" t="inlineStr">
        <is>
          <t>Mahindra</t>
        </is>
      </c>
      <c r="C1010" s="218" t="inlineStr">
        <is>
          <t>Bolero</t>
        </is>
      </c>
      <c r="D1010" s="219" t="inlineStr">
        <is>
          <t>Bolero B6 (O)</t>
        </is>
      </c>
      <c r="E1010" s="220" t="inlineStr">
        <is>
          <t>Dsat Silver</t>
        </is>
      </c>
    </row>
    <row r="1011" ht="15" customHeight="1">
      <c r="A1011" s="216" t="n">
        <v>1007</v>
      </c>
      <c r="B1011" s="217" t="inlineStr">
        <is>
          <t>Mahindra</t>
        </is>
      </c>
      <c r="C1011" s="218" t="inlineStr">
        <is>
          <t>Bolero</t>
        </is>
      </c>
      <c r="D1011" s="219" t="inlineStr">
        <is>
          <t>Bolero B6 (O)</t>
        </is>
      </c>
      <c r="E1011" s="220" t="inlineStr">
        <is>
          <t>Rocky Beige</t>
        </is>
      </c>
    </row>
    <row r="1012" ht="15" customHeight="1">
      <c r="A1012" s="216" t="n">
        <v>1008</v>
      </c>
      <c r="B1012" s="217" t="inlineStr">
        <is>
          <t>Mahindra</t>
        </is>
      </c>
      <c r="C1012" s="218" t="inlineStr">
        <is>
          <t>Bolero</t>
        </is>
      </c>
      <c r="D1012" s="219" t="inlineStr">
        <is>
          <t>Bolero B6 (O)</t>
        </is>
      </c>
      <c r="E1012" s="220" t="inlineStr">
        <is>
          <t>Stealth Black</t>
        </is>
      </c>
    </row>
    <row r="1013" ht="15" customHeight="1">
      <c r="A1013" s="216" t="n">
        <v>1009</v>
      </c>
      <c r="B1013" s="217" t="inlineStr">
        <is>
          <t>Mahindra</t>
        </is>
      </c>
      <c r="C1013" s="218" t="inlineStr">
        <is>
          <t>Bolero</t>
        </is>
      </c>
      <c r="D1013" s="219" t="inlineStr">
        <is>
          <t>Bolero B8</t>
        </is>
      </c>
      <c r="E1013" s="220" t="inlineStr">
        <is>
          <t>Diamond White</t>
        </is>
      </c>
    </row>
    <row r="1014" ht="15" customHeight="1">
      <c r="A1014" s="216" t="n">
        <v>1010</v>
      </c>
      <c r="B1014" s="217" t="inlineStr">
        <is>
          <t>Mahindra</t>
        </is>
      </c>
      <c r="C1014" s="218" t="inlineStr">
        <is>
          <t>Bolero</t>
        </is>
      </c>
      <c r="D1014" s="219" t="inlineStr">
        <is>
          <t>Bolero B8</t>
        </is>
      </c>
      <c r="E1014" s="220" t="inlineStr">
        <is>
          <t>Dsat Silver</t>
        </is>
      </c>
    </row>
    <row r="1015" ht="15" customHeight="1">
      <c r="A1015" s="216" t="n">
        <v>1011</v>
      </c>
      <c r="B1015" s="217" t="inlineStr">
        <is>
          <t>Mahindra</t>
        </is>
      </c>
      <c r="C1015" s="218" t="inlineStr">
        <is>
          <t>Bolero</t>
        </is>
      </c>
      <c r="D1015" s="219" t="inlineStr">
        <is>
          <t>Bolero B8</t>
        </is>
      </c>
      <c r="E1015" s="220" t="inlineStr">
        <is>
          <t>Rocky Beige</t>
        </is>
      </c>
    </row>
    <row r="1016" ht="15" customHeight="1">
      <c r="A1016" s="216" t="n">
        <v>1012</v>
      </c>
      <c r="B1016" s="217" t="inlineStr">
        <is>
          <t>Mahindra</t>
        </is>
      </c>
      <c r="C1016" s="218" t="inlineStr">
        <is>
          <t>Bolero</t>
        </is>
      </c>
      <c r="D1016" s="219" t="inlineStr">
        <is>
          <t>Bolero B8</t>
        </is>
      </c>
      <c r="E1016" s="220" t="inlineStr">
        <is>
          <t>Stealth Black</t>
        </is>
      </c>
    </row>
    <row r="1017" ht="15" customHeight="1">
      <c r="A1017" s="216" t="n">
        <v>1013</v>
      </c>
      <c r="B1017" s="217" t="inlineStr">
        <is>
          <t>Mahindra</t>
        </is>
      </c>
      <c r="C1017" s="218" t="inlineStr">
        <is>
          <t>Scorpio</t>
        </is>
      </c>
      <c r="D1017" s="219" t="inlineStr">
        <is>
          <t>Scorpio N Z2</t>
        </is>
      </c>
      <c r="E1017" s="220" t="inlineStr">
        <is>
          <t>Everest White</t>
        </is>
      </c>
    </row>
    <row r="1018" ht="15" customHeight="1">
      <c r="A1018" s="216" t="n">
        <v>1014</v>
      </c>
      <c r="B1018" s="217" t="inlineStr">
        <is>
          <t>Mahindra</t>
        </is>
      </c>
      <c r="C1018" s="218" t="inlineStr">
        <is>
          <t>Scorpio</t>
        </is>
      </c>
      <c r="D1018" s="219" t="inlineStr">
        <is>
          <t>Scorpio N Z2</t>
        </is>
      </c>
      <c r="E1018" s="220" t="inlineStr">
        <is>
          <t>Valyrian Silver</t>
        </is>
      </c>
    </row>
    <row r="1019" ht="15" customHeight="1">
      <c r="A1019" s="216" t="n">
        <v>1015</v>
      </c>
      <c r="B1019" s="217" t="inlineStr">
        <is>
          <t>Mahindra</t>
        </is>
      </c>
      <c r="C1019" s="218" t="inlineStr">
        <is>
          <t>Scorpio</t>
        </is>
      </c>
      <c r="D1019" s="219" t="inlineStr">
        <is>
          <t>Scorpio N Z4</t>
        </is>
      </c>
      <c r="E1019" s="220" t="inlineStr">
        <is>
          <t>Everest White</t>
        </is>
      </c>
    </row>
    <row r="1020" ht="15" customHeight="1">
      <c r="A1020" s="216" t="n">
        <v>1016</v>
      </c>
      <c r="B1020" s="217" t="inlineStr">
        <is>
          <t>Mahindra</t>
        </is>
      </c>
      <c r="C1020" s="218" t="inlineStr">
        <is>
          <t>Scorpio</t>
        </is>
      </c>
      <c r="D1020" s="219" t="inlineStr">
        <is>
          <t>Scorpio N Z4</t>
        </is>
      </c>
      <c r="E1020" s="220" t="inlineStr">
        <is>
          <t>Valyrian Silver</t>
        </is>
      </c>
    </row>
    <row r="1021" ht="15" customHeight="1">
      <c r="A1021" s="216" t="n">
        <v>1017</v>
      </c>
      <c r="B1021" s="217" t="inlineStr">
        <is>
          <t>Mahindra</t>
        </is>
      </c>
      <c r="C1021" s="218" t="inlineStr">
        <is>
          <t>Scorpio</t>
        </is>
      </c>
      <c r="D1021" s="219" t="inlineStr">
        <is>
          <t>Scorpio N Z6</t>
        </is>
      </c>
      <c r="E1021" s="220" t="inlineStr">
        <is>
          <t>Deep Forest</t>
        </is>
      </c>
    </row>
    <row r="1022" ht="15" customHeight="1">
      <c r="A1022" s="216" t="n">
        <v>1018</v>
      </c>
      <c r="B1022" s="217" t="inlineStr">
        <is>
          <t>Mahindra</t>
        </is>
      </c>
      <c r="C1022" s="218" t="inlineStr">
        <is>
          <t>Scorpio</t>
        </is>
      </c>
      <c r="D1022" s="219" t="inlineStr">
        <is>
          <t>Scorpio N Z6</t>
        </is>
      </c>
      <c r="E1022" s="220" t="inlineStr">
        <is>
          <t>Everest White</t>
        </is>
      </c>
    </row>
    <row r="1023" ht="15" customHeight="1">
      <c r="A1023" s="216" t="n">
        <v>1019</v>
      </c>
      <c r="B1023" s="217" t="inlineStr">
        <is>
          <t>Mahindra</t>
        </is>
      </c>
      <c r="C1023" s="218" t="inlineStr">
        <is>
          <t>Scorpio</t>
        </is>
      </c>
      <c r="D1023" s="219" t="inlineStr">
        <is>
          <t>Scorpio N Z6</t>
        </is>
      </c>
      <c r="E1023" s="220" t="inlineStr">
        <is>
          <t>Red Rage</t>
        </is>
      </c>
    </row>
    <row r="1024" ht="15" customHeight="1">
      <c r="A1024" s="216" t="n">
        <v>1020</v>
      </c>
      <c r="B1024" s="217" t="inlineStr">
        <is>
          <t>Mahindra</t>
        </is>
      </c>
      <c r="C1024" s="218" t="inlineStr">
        <is>
          <t>Scorpio</t>
        </is>
      </c>
      <c r="D1024" s="219" t="inlineStr">
        <is>
          <t>Scorpio N Z6</t>
        </is>
      </c>
      <c r="E1024" s="220" t="inlineStr">
        <is>
          <t>Valyrian Silver</t>
        </is>
      </c>
    </row>
    <row r="1025" ht="15" customHeight="1">
      <c r="A1025" s="216" t="n">
        <v>1021</v>
      </c>
      <c r="B1025" s="217" t="inlineStr">
        <is>
          <t>Mahindra</t>
        </is>
      </c>
      <c r="C1025" s="218" t="inlineStr">
        <is>
          <t>Scorpio</t>
        </is>
      </c>
      <c r="D1025" s="219" t="inlineStr">
        <is>
          <t>Scorpio N Z8</t>
        </is>
      </c>
      <c r="E1025" s="220" t="inlineStr">
        <is>
          <t>Deep Forest</t>
        </is>
      </c>
    </row>
    <row r="1026" ht="15" customHeight="1">
      <c r="A1026" s="216" t="n">
        <v>1022</v>
      </c>
      <c r="B1026" s="217" t="inlineStr">
        <is>
          <t>Mahindra</t>
        </is>
      </c>
      <c r="C1026" s="218" t="inlineStr">
        <is>
          <t>Scorpio</t>
        </is>
      </c>
      <c r="D1026" s="219" t="inlineStr">
        <is>
          <t>Scorpio N Z8</t>
        </is>
      </c>
      <c r="E1026" s="220" t="inlineStr">
        <is>
          <t>Everest White</t>
        </is>
      </c>
    </row>
    <row r="1027" ht="15" customHeight="1">
      <c r="A1027" s="216" t="n">
        <v>1023</v>
      </c>
      <c r="B1027" s="217" t="inlineStr">
        <is>
          <t>Mahindra</t>
        </is>
      </c>
      <c r="C1027" s="218" t="inlineStr">
        <is>
          <t>Scorpio</t>
        </is>
      </c>
      <c r="D1027" s="219" t="inlineStr">
        <is>
          <t>Scorpio N Z8</t>
        </is>
      </c>
      <c r="E1027" s="220" t="inlineStr">
        <is>
          <t>Red Rage</t>
        </is>
      </c>
    </row>
    <row r="1028" ht="15" customHeight="1">
      <c r="A1028" s="216" t="n">
        <v>1024</v>
      </c>
      <c r="B1028" s="217" t="inlineStr">
        <is>
          <t>Mahindra</t>
        </is>
      </c>
      <c r="C1028" s="218" t="inlineStr">
        <is>
          <t>Scorpio</t>
        </is>
      </c>
      <c r="D1028" s="219" t="inlineStr">
        <is>
          <t>Scorpio N Z8</t>
        </is>
      </c>
      <c r="E1028" s="220" t="inlineStr">
        <is>
          <t>Valyrian Silver</t>
        </is>
      </c>
    </row>
    <row r="1029" ht="15" customHeight="1">
      <c r="A1029" s="216" t="n">
        <v>1025</v>
      </c>
      <c r="B1029" s="217" t="inlineStr">
        <is>
          <t>Mahindra</t>
        </is>
      </c>
      <c r="C1029" s="218" t="inlineStr">
        <is>
          <t>Scorpio</t>
        </is>
      </c>
      <c r="D1029" s="219" t="inlineStr">
        <is>
          <t>Scorpio N Z8 L</t>
        </is>
      </c>
      <c r="E1029" s="220" t="inlineStr">
        <is>
          <t>Black</t>
        </is>
      </c>
    </row>
    <row r="1030" ht="15" customHeight="1">
      <c r="A1030" s="216" t="n">
        <v>1026</v>
      </c>
      <c r="B1030" s="217" t="inlineStr">
        <is>
          <t>Mahindra</t>
        </is>
      </c>
      <c r="C1030" s="218" t="inlineStr">
        <is>
          <t>Scorpio</t>
        </is>
      </c>
      <c r="D1030" s="219" t="inlineStr">
        <is>
          <t>Scorpio N Z8 L</t>
        </is>
      </c>
      <c r="E1030" s="220" t="inlineStr">
        <is>
          <t>Deep Forest</t>
        </is>
      </c>
    </row>
    <row r="1031" ht="15" customHeight="1">
      <c r="A1031" s="216" t="n">
        <v>1027</v>
      </c>
      <c r="B1031" s="217" t="inlineStr">
        <is>
          <t>Mahindra</t>
        </is>
      </c>
      <c r="C1031" s="218" t="inlineStr">
        <is>
          <t>Scorpio</t>
        </is>
      </c>
      <c r="D1031" s="219" t="inlineStr">
        <is>
          <t>Scorpio N Z8 L</t>
        </is>
      </c>
      <c r="E1031" s="220" t="inlineStr">
        <is>
          <t>Everest White</t>
        </is>
      </c>
    </row>
    <row r="1032" ht="15" customHeight="1">
      <c r="A1032" s="216" t="n">
        <v>1028</v>
      </c>
      <c r="B1032" s="217" t="inlineStr">
        <is>
          <t>Mahindra</t>
        </is>
      </c>
      <c r="C1032" s="218" t="inlineStr">
        <is>
          <t>Scorpio</t>
        </is>
      </c>
      <c r="D1032" s="219" t="inlineStr">
        <is>
          <t>Scorpio N Z8 L</t>
        </is>
      </c>
      <c r="E1032" s="220" t="inlineStr">
        <is>
          <t>Midnight Black</t>
        </is>
      </c>
    </row>
    <row r="1033" ht="15" customHeight="1">
      <c r="A1033" s="216" t="n">
        <v>1029</v>
      </c>
      <c r="B1033" s="217" t="inlineStr">
        <is>
          <t>Mahindra</t>
        </is>
      </c>
      <c r="C1033" s="218" t="inlineStr">
        <is>
          <t>Scorpio</t>
        </is>
      </c>
      <c r="D1033" s="219" t="inlineStr">
        <is>
          <t>Scorpio N Z8 L</t>
        </is>
      </c>
      <c r="E1033" s="220" t="inlineStr">
        <is>
          <t>Red Rage</t>
        </is>
      </c>
    </row>
    <row r="1034" ht="15" customHeight="1">
      <c r="A1034" s="216" t="n">
        <v>1030</v>
      </c>
      <c r="B1034" s="217" t="inlineStr">
        <is>
          <t>Mahindra</t>
        </is>
      </c>
      <c r="C1034" s="218" t="inlineStr">
        <is>
          <t>Scorpio</t>
        </is>
      </c>
      <c r="D1034" s="219" t="inlineStr">
        <is>
          <t>Scorpio N Z8 L</t>
        </is>
      </c>
      <c r="E1034" s="220" t="inlineStr">
        <is>
          <t>Valyrian Silver</t>
        </is>
      </c>
    </row>
    <row r="1035" ht="15" customHeight="1">
      <c r="A1035" s="216" t="n">
        <v>1031</v>
      </c>
      <c r="B1035" s="217" t="inlineStr">
        <is>
          <t>Mahindra</t>
        </is>
      </c>
      <c r="C1035" s="218" t="inlineStr">
        <is>
          <t>Scorpio</t>
        </is>
      </c>
      <c r="D1035" s="219" t="inlineStr">
        <is>
          <t>Scorpio N Z8 S</t>
        </is>
      </c>
      <c r="E1035" s="220" t="inlineStr">
        <is>
          <t>Black</t>
        </is>
      </c>
    </row>
    <row r="1036" ht="15" customHeight="1">
      <c r="A1036" s="216" t="n">
        <v>1032</v>
      </c>
      <c r="B1036" s="217" t="inlineStr">
        <is>
          <t>Mahindra</t>
        </is>
      </c>
      <c r="C1036" s="218" t="inlineStr">
        <is>
          <t>Scorpio</t>
        </is>
      </c>
      <c r="D1036" s="219" t="inlineStr">
        <is>
          <t>Scorpio N Z8 S</t>
        </is>
      </c>
      <c r="E1036" s="220" t="inlineStr">
        <is>
          <t>Deep Forest</t>
        </is>
      </c>
    </row>
    <row r="1037" ht="15" customHeight="1">
      <c r="A1037" s="216" t="n">
        <v>1033</v>
      </c>
      <c r="B1037" s="217" t="inlineStr">
        <is>
          <t>Mahindra</t>
        </is>
      </c>
      <c r="C1037" s="218" t="inlineStr">
        <is>
          <t>Scorpio</t>
        </is>
      </c>
      <c r="D1037" s="219" t="inlineStr">
        <is>
          <t>Scorpio N Z8 S</t>
        </is>
      </c>
      <c r="E1037" s="220" t="inlineStr">
        <is>
          <t>Everest White</t>
        </is>
      </c>
    </row>
    <row r="1038" ht="15" customHeight="1">
      <c r="A1038" s="216" t="n">
        <v>1034</v>
      </c>
      <c r="B1038" s="217" t="inlineStr">
        <is>
          <t>Mahindra</t>
        </is>
      </c>
      <c r="C1038" s="218" t="inlineStr">
        <is>
          <t>Scorpio</t>
        </is>
      </c>
      <c r="D1038" s="219" t="inlineStr">
        <is>
          <t>Scorpio N Z8 S</t>
        </is>
      </c>
      <c r="E1038" s="220" t="inlineStr">
        <is>
          <t>Midnight Black</t>
        </is>
      </c>
    </row>
    <row r="1039" ht="15" customHeight="1">
      <c r="A1039" s="216" t="n">
        <v>1035</v>
      </c>
      <c r="B1039" s="217" t="inlineStr">
        <is>
          <t>Mahindra</t>
        </is>
      </c>
      <c r="C1039" s="218" t="inlineStr">
        <is>
          <t>Scorpio</t>
        </is>
      </c>
      <c r="D1039" s="219" t="inlineStr">
        <is>
          <t>Scorpio N Z8 S</t>
        </is>
      </c>
      <c r="E1039" s="220" t="inlineStr">
        <is>
          <t>Red Rage</t>
        </is>
      </c>
    </row>
    <row r="1040" ht="15" customHeight="1">
      <c r="A1040" s="216" t="n">
        <v>1036</v>
      </c>
      <c r="B1040" s="217" t="inlineStr">
        <is>
          <t>Mahindra</t>
        </is>
      </c>
      <c r="C1040" s="218" t="inlineStr">
        <is>
          <t>Scorpio</t>
        </is>
      </c>
      <c r="D1040" s="219" t="inlineStr">
        <is>
          <t>Scorpio N Z8 S</t>
        </is>
      </c>
      <c r="E1040" s="220" t="inlineStr">
        <is>
          <t>Valyrian Silver</t>
        </is>
      </c>
    </row>
    <row r="1041" ht="15" customHeight="1">
      <c r="A1041" s="216" t="n">
        <v>1037</v>
      </c>
      <c r="B1041" s="217" t="inlineStr">
        <is>
          <t>Mahindra</t>
        </is>
      </c>
      <c r="C1041" s="218" t="inlineStr">
        <is>
          <t>Scorpio</t>
        </is>
      </c>
      <c r="D1041" s="219" t="inlineStr">
        <is>
          <t>Scorpio N Z8 T</t>
        </is>
      </c>
      <c r="E1041" s="220" t="inlineStr">
        <is>
          <t>Black</t>
        </is>
      </c>
    </row>
    <row r="1042" ht="15" customHeight="1">
      <c r="A1042" s="216" t="n">
        <v>1038</v>
      </c>
      <c r="B1042" s="217" t="inlineStr">
        <is>
          <t>Mahindra</t>
        </is>
      </c>
      <c r="C1042" s="218" t="inlineStr">
        <is>
          <t>Scorpio</t>
        </is>
      </c>
      <c r="D1042" s="219" t="inlineStr">
        <is>
          <t>Scorpio N Z8 T</t>
        </is>
      </c>
      <c r="E1042" s="220" t="inlineStr">
        <is>
          <t>Deep Forest</t>
        </is>
      </c>
    </row>
    <row r="1043" ht="15" customHeight="1">
      <c r="A1043" s="216" t="n">
        <v>1039</v>
      </c>
      <c r="B1043" s="217" t="inlineStr">
        <is>
          <t>Mahindra</t>
        </is>
      </c>
      <c r="C1043" s="218" t="inlineStr">
        <is>
          <t>Scorpio</t>
        </is>
      </c>
      <c r="D1043" s="219" t="inlineStr">
        <is>
          <t>Scorpio N Z8 T</t>
        </is>
      </c>
      <c r="E1043" s="220" t="inlineStr">
        <is>
          <t>Everest White</t>
        </is>
      </c>
    </row>
    <row r="1044" ht="15" customHeight="1">
      <c r="A1044" s="216" t="n">
        <v>1040</v>
      </c>
      <c r="B1044" s="217" t="inlineStr">
        <is>
          <t>Mahindra</t>
        </is>
      </c>
      <c r="C1044" s="218" t="inlineStr">
        <is>
          <t>Scorpio</t>
        </is>
      </c>
      <c r="D1044" s="219" t="inlineStr">
        <is>
          <t>Scorpio N Z8 T</t>
        </is>
      </c>
      <c r="E1044" s="220" t="inlineStr">
        <is>
          <t>Midnight Black</t>
        </is>
      </c>
    </row>
    <row r="1045" ht="15" customHeight="1">
      <c r="A1045" s="216" t="n">
        <v>1041</v>
      </c>
      <c r="B1045" s="217" t="inlineStr">
        <is>
          <t>Mahindra</t>
        </is>
      </c>
      <c r="C1045" s="218" t="inlineStr">
        <is>
          <t>Scorpio</t>
        </is>
      </c>
      <c r="D1045" s="219" t="inlineStr">
        <is>
          <t>Scorpio N Z8 T</t>
        </is>
      </c>
      <c r="E1045" s="220" t="inlineStr">
        <is>
          <t>Red Rage</t>
        </is>
      </c>
    </row>
    <row r="1046" ht="15" customHeight="1">
      <c r="A1046" s="216" t="n">
        <v>1042</v>
      </c>
      <c r="B1046" s="217" t="inlineStr">
        <is>
          <t>Mahindra</t>
        </is>
      </c>
      <c r="C1046" s="218" t="inlineStr">
        <is>
          <t>Scorpio</t>
        </is>
      </c>
      <c r="D1046" s="219" t="inlineStr">
        <is>
          <t>Scorpio N Z8 T</t>
        </is>
      </c>
      <c r="E1046" s="220" t="inlineStr">
        <is>
          <t>Valyrian Silver</t>
        </is>
      </c>
    </row>
    <row r="1047" ht="15" customHeight="1">
      <c r="A1047" s="216" t="n">
        <v>1043</v>
      </c>
      <c r="B1047" s="217" t="inlineStr">
        <is>
          <t>Mahindra</t>
        </is>
      </c>
      <c r="C1047" s="218" t="inlineStr">
        <is>
          <t>Thar</t>
        </is>
      </c>
      <c r="D1047" s="219" t="inlineStr">
        <is>
          <t>Thar Roxx AX3 L</t>
        </is>
      </c>
      <c r="E1047" s="220" t="inlineStr">
        <is>
          <t>Battleship Grey</t>
        </is>
      </c>
    </row>
    <row r="1048" ht="15" customHeight="1">
      <c r="A1048" s="216" t="n">
        <v>1044</v>
      </c>
      <c r="B1048" s="217" t="inlineStr">
        <is>
          <t>Mahindra</t>
        </is>
      </c>
      <c r="C1048" s="218" t="inlineStr">
        <is>
          <t>Thar</t>
        </is>
      </c>
      <c r="D1048" s="219" t="inlineStr">
        <is>
          <t>Thar Roxx AX3 L</t>
        </is>
      </c>
      <c r="E1048" s="220" t="inlineStr">
        <is>
          <t>Burnt Sienna</t>
        </is>
      </c>
    </row>
    <row r="1049" ht="15" customHeight="1">
      <c r="A1049" s="216" t="n">
        <v>1045</v>
      </c>
      <c r="B1049" s="217" t="inlineStr">
        <is>
          <t>Mahindra</t>
        </is>
      </c>
      <c r="C1049" s="218" t="inlineStr">
        <is>
          <t>Thar</t>
        </is>
      </c>
      <c r="D1049" s="219" t="inlineStr">
        <is>
          <t>Thar Roxx AX3 L</t>
        </is>
      </c>
      <c r="E1049" s="220" t="inlineStr">
        <is>
          <t>Deep Forest</t>
        </is>
      </c>
    </row>
    <row r="1050" ht="15" customHeight="1">
      <c r="A1050" s="216" t="n">
        <v>1046</v>
      </c>
      <c r="B1050" s="217" t="inlineStr">
        <is>
          <t>Mahindra</t>
        </is>
      </c>
      <c r="C1050" s="218" t="inlineStr">
        <is>
          <t>Thar</t>
        </is>
      </c>
      <c r="D1050" s="219" t="inlineStr">
        <is>
          <t>Thar Roxx AX3 L</t>
        </is>
      </c>
      <c r="E1050" s="220" t="inlineStr">
        <is>
          <t>Everest White</t>
        </is>
      </c>
    </row>
    <row r="1051" ht="15" customHeight="1">
      <c r="A1051" s="216" t="n">
        <v>1047</v>
      </c>
      <c r="B1051" s="217" t="inlineStr">
        <is>
          <t>Mahindra</t>
        </is>
      </c>
      <c r="C1051" s="218" t="inlineStr">
        <is>
          <t>Thar</t>
        </is>
      </c>
      <c r="D1051" s="219" t="inlineStr">
        <is>
          <t>Thar Roxx AX3 L</t>
        </is>
      </c>
      <c r="E1051" s="220" t="inlineStr">
        <is>
          <t>Nebula Blue</t>
        </is>
      </c>
    </row>
    <row r="1052" ht="15" customHeight="1">
      <c r="A1052" s="216" t="n">
        <v>1048</v>
      </c>
      <c r="B1052" s="217" t="inlineStr">
        <is>
          <t>Mahindra</t>
        </is>
      </c>
      <c r="C1052" s="218" t="inlineStr">
        <is>
          <t>Thar</t>
        </is>
      </c>
      <c r="D1052" s="219" t="inlineStr">
        <is>
          <t>Thar Roxx AX3 L</t>
        </is>
      </c>
      <c r="E1052" s="220" t="inlineStr">
        <is>
          <t>Stealth Black</t>
        </is>
      </c>
    </row>
    <row r="1053" ht="15" customHeight="1">
      <c r="A1053" s="216" t="n">
        <v>1049</v>
      </c>
      <c r="B1053" s="217" t="inlineStr">
        <is>
          <t>Mahindra</t>
        </is>
      </c>
      <c r="C1053" s="218" t="inlineStr">
        <is>
          <t>Thar</t>
        </is>
      </c>
      <c r="D1053" s="219" t="inlineStr">
        <is>
          <t>Thar Roxx AX3 L</t>
        </is>
      </c>
      <c r="E1053" s="220" t="inlineStr">
        <is>
          <t>Tango Red</t>
        </is>
      </c>
    </row>
    <row r="1054" ht="15" customHeight="1">
      <c r="A1054" s="216" t="n">
        <v>1050</v>
      </c>
      <c r="B1054" s="217" t="inlineStr">
        <is>
          <t>Mahindra</t>
        </is>
      </c>
      <c r="C1054" s="218" t="inlineStr">
        <is>
          <t>Thar</t>
        </is>
      </c>
      <c r="D1054" s="219" t="inlineStr">
        <is>
          <t>Thar Roxx AX5 L</t>
        </is>
      </c>
      <c r="E1054" s="220" t="inlineStr">
        <is>
          <t>Battleship Grey</t>
        </is>
      </c>
    </row>
    <row r="1055" ht="15" customHeight="1">
      <c r="A1055" s="216" t="n">
        <v>1051</v>
      </c>
      <c r="B1055" s="217" t="inlineStr">
        <is>
          <t>Mahindra</t>
        </is>
      </c>
      <c r="C1055" s="218" t="inlineStr">
        <is>
          <t>Thar</t>
        </is>
      </c>
      <c r="D1055" s="219" t="inlineStr">
        <is>
          <t>Thar Roxx AX5 L</t>
        </is>
      </c>
      <c r="E1055" s="220" t="inlineStr">
        <is>
          <t>Burnt Sienna</t>
        </is>
      </c>
    </row>
    <row r="1056" ht="15" customHeight="1">
      <c r="A1056" s="216" t="n">
        <v>1052</v>
      </c>
      <c r="B1056" s="217" t="inlineStr">
        <is>
          <t>Mahindra</t>
        </is>
      </c>
      <c r="C1056" s="218" t="inlineStr">
        <is>
          <t>Thar</t>
        </is>
      </c>
      <c r="D1056" s="219" t="inlineStr">
        <is>
          <t>Thar Roxx AX5 L</t>
        </is>
      </c>
      <c r="E1056" s="220" t="inlineStr">
        <is>
          <t>Deep Forest</t>
        </is>
      </c>
    </row>
    <row r="1057" ht="15" customHeight="1">
      <c r="A1057" s="216" t="n">
        <v>1053</v>
      </c>
      <c r="B1057" s="217" t="inlineStr">
        <is>
          <t>Mahindra</t>
        </is>
      </c>
      <c r="C1057" s="218" t="inlineStr">
        <is>
          <t>Thar</t>
        </is>
      </c>
      <c r="D1057" s="219" t="inlineStr">
        <is>
          <t>Thar Roxx AX5 L</t>
        </is>
      </c>
      <c r="E1057" s="220" t="inlineStr">
        <is>
          <t>Everest White</t>
        </is>
      </c>
    </row>
    <row r="1058" ht="15" customHeight="1">
      <c r="A1058" s="216" t="n">
        <v>1054</v>
      </c>
      <c r="B1058" s="217" t="inlineStr">
        <is>
          <t>Mahindra</t>
        </is>
      </c>
      <c r="C1058" s="218" t="inlineStr">
        <is>
          <t>Thar</t>
        </is>
      </c>
      <c r="D1058" s="219" t="inlineStr">
        <is>
          <t>Thar Roxx AX5 L</t>
        </is>
      </c>
      <c r="E1058" s="220" t="inlineStr">
        <is>
          <t>Nebula Blue</t>
        </is>
      </c>
    </row>
    <row r="1059" ht="15" customHeight="1">
      <c r="A1059" s="216" t="n">
        <v>1055</v>
      </c>
      <c r="B1059" s="217" t="inlineStr">
        <is>
          <t>Mahindra</t>
        </is>
      </c>
      <c r="C1059" s="218" t="inlineStr">
        <is>
          <t>Thar</t>
        </is>
      </c>
      <c r="D1059" s="219" t="inlineStr">
        <is>
          <t>Thar Roxx AX5 L</t>
        </is>
      </c>
      <c r="E1059" s="220" t="inlineStr">
        <is>
          <t>Stealth Black</t>
        </is>
      </c>
    </row>
    <row r="1060" ht="15" customHeight="1">
      <c r="A1060" s="216" t="n">
        <v>1056</v>
      </c>
      <c r="B1060" s="217" t="inlineStr">
        <is>
          <t>Mahindra</t>
        </is>
      </c>
      <c r="C1060" s="218" t="inlineStr">
        <is>
          <t>Thar</t>
        </is>
      </c>
      <c r="D1060" s="219" t="inlineStr">
        <is>
          <t>Thar Roxx AX5 L</t>
        </is>
      </c>
      <c r="E1060" s="220" t="inlineStr">
        <is>
          <t>Tango Red</t>
        </is>
      </c>
    </row>
    <row r="1061" ht="15" customHeight="1">
      <c r="A1061" s="216" t="n">
        <v>1057</v>
      </c>
      <c r="B1061" s="217" t="inlineStr">
        <is>
          <t>Mahindra</t>
        </is>
      </c>
      <c r="C1061" s="218" t="inlineStr">
        <is>
          <t>Thar</t>
        </is>
      </c>
      <c r="D1061" s="219" t="inlineStr">
        <is>
          <t>Thar Roxx AX7 L</t>
        </is>
      </c>
      <c r="E1061" s="220" t="inlineStr">
        <is>
          <t>Battleship Grey</t>
        </is>
      </c>
    </row>
    <row r="1062" ht="15" customHeight="1">
      <c r="A1062" s="216" t="n">
        <v>1058</v>
      </c>
      <c r="B1062" s="217" t="inlineStr">
        <is>
          <t>Mahindra</t>
        </is>
      </c>
      <c r="C1062" s="218" t="inlineStr">
        <is>
          <t>Thar</t>
        </is>
      </c>
      <c r="D1062" s="219" t="inlineStr">
        <is>
          <t>Thar Roxx AX7 L</t>
        </is>
      </c>
      <c r="E1062" s="220" t="inlineStr">
        <is>
          <t>Burnt Sienna</t>
        </is>
      </c>
    </row>
    <row r="1063" ht="15" customHeight="1">
      <c r="A1063" s="216" t="n">
        <v>1059</v>
      </c>
      <c r="B1063" s="217" t="inlineStr">
        <is>
          <t>Mahindra</t>
        </is>
      </c>
      <c r="C1063" s="218" t="inlineStr">
        <is>
          <t>Thar</t>
        </is>
      </c>
      <c r="D1063" s="219" t="inlineStr">
        <is>
          <t>Thar Roxx AX7 L</t>
        </is>
      </c>
      <c r="E1063" s="220" t="inlineStr">
        <is>
          <t>Deep Forest</t>
        </is>
      </c>
    </row>
    <row r="1064" ht="15" customHeight="1">
      <c r="A1064" s="216" t="n">
        <v>1060</v>
      </c>
      <c r="B1064" s="217" t="inlineStr">
        <is>
          <t>Mahindra</t>
        </is>
      </c>
      <c r="C1064" s="218" t="inlineStr">
        <is>
          <t>Thar</t>
        </is>
      </c>
      <c r="D1064" s="219" t="inlineStr">
        <is>
          <t>Thar Roxx AX7 L</t>
        </is>
      </c>
      <c r="E1064" s="220" t="inlineStr">
        <is>
          <t>Everest White</t>
        </is>
      </c>
    </row>
    <row r="1065" ht="15" customHeight="1">
      <c r="A1065" s="216" t="n">
        <v>1061</v>
      </c>
      <c r="B1065" s="217" t="inlineStr">
        <is>
          <t>Mahindra</t>
        </is>
      </c>
      <c r="C1065" s="218" t="inlineStr">
        <is>
          <t>Thar</t>
        </is>
      </c>
      <c r="D1065" s="219" t="inlineStr">
        <is>
          <t>Thar Roxx AX7 L</t>
        </is>
      </c>
      <c r="E1065" s="220" t="inlineStr">
        <is>
          <t>Nebula Blue</t>
        </is>
      </c>
    </row>
    <row r="1066" ht="15" customHeight="1">
      <c r="A1066" s="216" t="n">
        <v>1062</v>
      </c>
      <c r="B1066" s="217" t="inlineStr">
        <is>
          <t>Mahindra</t>
        </is>
      </c>
      <c r="C1066" s="218" t="inlineStr">
        <is>
          <t>Thar</t>
        </is>
      </c>
      <c r="D1066" s="219" t="inlineStr">
        <is>
          <t>Thar Roxx AX7 L</t>
        </is>
      </c>
      <c r="E1066" s="220" t="inlineStr">
        <is>
          <t>Stealth Black</t>
        </is>
      </c>
    </row>
    <row r="1067" ht="15" customHeight="1">
      <c r="A1067" s="216" t="n">
        <v>1063</v>
      </c>
      <c r="B1067" s="217" t="inlineStr">
        <is>
          <t>Mahindra</t>
        </is>
      </c>
      <c r="C1067" s="218" t="inlineStr">
        <is>
          <t>Thar</t>
        </is>
      </c>
      <c r="D1067" s="219" t="inlineStr">
        <is>
          <t>Thar Roxx AX7 L</t>
        </is>
      </c>
      <c r="E1067" s="220" t="inlineStr">
        <is>
          <t>Tango Red</t>
        </is>
      </c>
    </row>
    <row r="1068" ht="15" customHeight="1">
      <c r="A1068" s="216" t="n">
        <v>1064</v>
      </c>
      <c r="B1068" s="217" t="inlineStr">
        <is>
          <t>Mahindra</t>
        </is>
      </c>
      <c r="C1068" s="218" t="inlineStr">
        <is>
          <t>Thar</t>
        </is>
      </c>
      <c r="D1068" s="219" t="inlineStr">
        <is>
          <t>Thar Roxx MX3</t>
        </is>
      </c>
      <c r="E1068" s="220" t="inlineStr">
        <is>
          <t>Everest White</t>
        </is>
      </c>
    </row>
    <row r="1069" ht="15" customHeight="1">
      <c r="A1069" s="216" t="n">
        <v>1065</v>
      </c>
      <c r="B1069" s="217" t="inlineStr">
        <is>
          <t>Mahindra</t>
        </is>
      </c>
      <c r="C1069" s="218" t="inlineStr">
        <is>
          <t>Thar</t>
        </is>
      </c>
      <c r="D1069" s="219" t="inlineStr">
        <is>
          <t>Thar Roxx MX3</t>
        </is>
      </c>
      <c r="E1069" s="220" t="inlineStr">
        <is>
          <t>Stealth Black</t>
        </is>
      </c>
    </row>
    <row r="1070" ht="15" customHeight="1">
      <c r="A1070" s="216" t="n">
        <v>1066</v>
      </c>
      <c r="B1070" s="217" t="inlineStr">
        <is>
          <t>Mahindra</t>
        </is>
      </c>
      <c r="C1070" s="218" t="inlineStr">
        <is>
          <t>Thar</t>
        </is>
      </c>
      <c r="D1070" s="219" t="inlineStr">
        <is>
          <t>Thar Roxx MX3</t>
        </is>
      </c>
      <c r="E1070" s="220" t="inlineStr">
        <is>
          <t>Tango Red</t>
        </is>
      </c>
    </row>
    <row r="1071" ht="15" customHeight="1">
      <c r="A1071" s="216" t="n">
        <v>1067</v>
      </c>
      <c r="B1071" s="217" t="inlineStr">
        <is>
          <t>Mahindra</t>
        </is>
      </c>
      <c r="C1071" s="218" t="inlineStr">
        <is>
          <t>Thar</t>
        </is>
      </c>
      <c r="D1071" s="219" t="inlineStr">
        <is>
          <t>Thar Roxx MX5</t>
        </is>
      </c>
      <c r="E1071" s="220" t="inlineStr">
        <is>
          <t>Battleship Grey</t>
        </is>
      </c>
    </row>
    <row r="1072" ht="15" customHeight="1">
      <c r="A1072" s="216" t="n">
        <v>1068</v>
      </c>
      <c r="B1072" s="217" t="inlineStr">
        <is>
          <t>Mahindra</t>
        </is>
      </c>
      <c r="C1072" s="218" t="inlineStr">
        <is>
          <t>Thar</t>
        </is>
      </c>
      <c r="D1072" s="219" t="inlineStr">
        <is>
          <t>Thar Roxx MX5</t>
        </is>
      </c>
      <c r="E1072" s="220" t="inlineStr">
        <is>
          <t>Burnt Sienna</t>
        </is>
      </c>
    </row>
    <row r="1073" ht="15" customHeight="1">
      <c r="A1073" s="216" t="n">
        <v>1069</v>
      </c>
      <c r="B1073" s="217" t="inlineStr">
        <is>
          <t>Mahindra</t>
        </is>
      </c>
      <c r="C1073" s="218" t="inlineStr">
        <is>
          <t>Thar</t>
        </is>
      </c>
      <c r="D1073" s="219" t="inlineStr">
        <is>
          <t>Thar Roxx MX5</t>
        </is>
      </c>
      <c r="E1073" s="220" t="inlineStr">
        <is>
          <t>Deep Forest</t>
        </is>
      </c>
    </row>
    <row r="1074" ht="15" customHeight="1">
      <c r="A1074" s="216" t="n">
        <v>1070</v>
      </c>
      <c r="B1074" s="217" t="inlineStr">
        <is>
          <t>Mahindra</t>
        </is>
      </c>
      <c r="C1074" s="218" t="inlineStr">
        <is>
          <t>Thar</t>
        </is>
      </c>
      <c r="D1074" s="219" t="inlineStr">
        <is>
          <t>Thar Roxx MX5</t>
        </is>
      </c>
      <c r="E1074" s="220" t="inlineStr">
        <is>
          <t>Everest White</t>
        </is>
      </c>
    </row>
    <row r="1075" ht="15" customHeight="1">
      <c r="A1075" s="216" t="n">
        <v>1071</v>
      </c>
      <c r="B1075" s="217" t="inlineStr">
        <is>
          <t>Mahindra</t>
        </is>
      </c>
      <c r="C1075" s="218" t="inlineStr">
        <is>
          <t>Thar</t>
        </is>
      </c>
      <c r="D1075" s="219" t="inlineStr">
        <is>
          <t>Thar Roxx MX5</t>
        </is>
      </c>
      <c r="E1075" s="220" t="inlineStr">
        <is>
          <t>Nebula Blue</t>
        </is>
      </c>
    </row>
    <row r="1076" ht="15" customHeight="1">
      <c r="A1076" s="216" t="n">
        <v>1072</v>
      </c>
      <c r="B1076" s="217" t="inlineStr">
        <is>
          <t>Mahindra</t>
        </is>
      </c>
      <c r="C1076" s="218" t="inlineStr">
        <is>
          <t>Thar</t>
        </is>
      </c>
      <c r="D1076" s="219" t="inlineStr">
        <is>
          <t>Thar Roxx MX5</t>
        </is>
      </c>
      <c r="E1076" s="220" t="inlineStr">
        <is>
          <t>Stealth Black</t>
        </is>
      </c>
    </row>
    <row r="1077" ht="15" customHeight="1">
      <c r="A1077" s="216" t="n">
        <v>1073</v>
      </c>
      <c r="B1077" s="217" t="inlineStr">
        <is>
          <t>Mahindra</t>
        </is>
      </c>
      <c r="C1077" s="218" t="inlineStr">
        <is>
          <t>Thar</t>
        </is>
      </c>
      <c r="D1077" s="219" t="inlineStr">
        <is>
          <t>Thar Roxx MX5</t>
        </is>
      </c>
      <c r="E1077" s="220" t="inlineStr">
        <is>
          <t>Tango Red</t>
        </is>
      </c>
    </row>
    <row r="1078" ht="15" customHeight="1">
      <c r="A1078" s="216" t="n">
        <v>1074</v>
      </c>
      <c r="B1078" s="217" t="inlineStr">
        <is>
          <t>Mahindra</t>
        </is>
      </c>
      <c r="C1078" s="218" t="inlineStr">
        <is>
          <t>Thar</t>
        </is>
      </c>
      <c r="D1078" s="219" t="inlineStr">
        <is>
          <t>Thar Roxx Star Edition</t>
        </is>
      </c>
      <c r="E1078" s="220" t="inlineStr">
        <is>
          <t>Citrine Yellow</t>
        </is>
      </c>
    </row>
    <row r="1079" ht="15" customHeight="1">
      <c r="A1079" s="216" t="n">
        <v>1075</v>
      </c>
      <c r="B1079" s="217" t="inlineStr">
        <is>
          <t>Mahindra</t>
        </is>
      </c>
      <c r="C1079" s="218" t="inlineStr">
        <is>
          <t>Thar</t>
        </is>
      </c>
      <c r="D1079" s="219" t="inlineStr">
        <is>
          <t>Thar Roxx Star Edition</t>
        </is>
      </c>
      <c r="E1079" s="220" t="inlineStr">
        <is>
          <t>Everest White</t>
        </is>
      </c>
    </row>
    <row r="1080" ht="15" customHeight="1">
      <c r="A1080" s="216" t="n">
        <v>1076</v>
      </c>
      <c r="B1080" s="217" t="inlineStr">
        <is>
          <t>Mahindra</t>
        </is>
      </c>
      <c r="C1080" s="218" t="inlineStr">
        <is>
          <t>Thar</t>
        </is>
      </c>
      <c r="D1080" s="219" t="inlineStr">
        <is>
          <t>Thar Roxx Star Edition</t>
        </is>
      </c>
      <c r="E1080" s="220" t="inlineStr">
        <is>
          <t>Stealth Black</t>
        </is>
      </c>
    </row>
    <row r="1081" ht="15" customHeight="1">
      <c r="A1081" s="216" t="n">
        <v>1077</v>
      </c>
      <c r="B1081" s="217" t="inlineStr">
        <is>
          <t>Mahindra</t>
        </is>
      </c>
      <c r="C1081" s="218" t="inlineStr">
        <is>
          <t>Thar</t>
        </is>
      </c>
      <c r="D1081" s="219" t="inlineStr">
        <is>
          <t>Thar Roxx Star Edition</t>
        </is>
      </c>
      <c r="E1081" s="220" t="inlineStr">
        <is>
          <t>Tango Red</t>
        </is>
      </c>
    </row>
    <row r="1082" ht="15" customHeight="1">
      <c r="A1082" s="216" t="n">
        <v>1078</v>
      </c>
      <c r="B1082" s="217" t="inlineStr">
        <is>
          <t>Mahindra</t>
        </is>
      </c>
      <c r="C1082" s="218" t="inlineStr">
        <is>
          <t>XEV 9e</t>
        </is>
      </c>
      <c r="D1082" s="219" t="inlineStr">
        <is>
          <t>XEV 9e Cineluxe Edition</t>
        </is>
      </c>
      <c r="E1082" s="220" t="inlineStr">
        <is>
          <t>Satin White</t>
        </is>
      </c>
    </row>
    <row r="1083" ht="15" customHeight="1">
      <c r="A1083" s="216" t="n">
        <v>1079</v>
      </c>
      <c r="B1083" s="217" t="inlineStr">
        <is>
          <t>Mahindra</t>
        </is>
      </c>
      <c r="C1083" s="218" t="inlineStr">
        <is>
          <t>XEV 9e</t>
        </is>
      </c>
      <c r="D1083" s="219" t="inlineStr">
        <is>
          <t>XEV 9e Cineluxe Edition</t>
        </is>
      </c>
      <c r="E1083" s="220" t="inlineStr">
        <is>
          <t>Stealth Black</t>
        </is>
      </c>
    </row>
    <row r="1084" ht="15" customHeight="1">
      <c r="A1084" s="216" t="n">
        <v>1080</v>
      </c>
      <c r="B1084" s="217" t="inlineStr">
        <is>
          <t>Mahindra</t>
        </is>
      </c>
      <c r="C1084" s="218" t="inlineStr">
        <is>
          <t>XEV 9e</t>
        </is>
      </c>
      <c r="D1084" s="219" t="inlineStr">
        <is>
          <t>XEV 9e Pack One</t>
        </is>
      </c>
      <c r="E1084" s="220" t="inlineStr">
        <is>
          <t>Deep Forest</t>
        </is>
      </c>
    </row>
    <row r="1085" ht="15" customHeight="1">
      <c r="A1085" s="216" t="n">
        <v>1081</v>
      </c>
      <c r="B1085" s="217" t="inlineStr">
        <is>
          <t>Mahindra</t>
        </is>
      </c>
      <c r="C1085" s="218" t="inlineStr">
        <is>
          <t>XEV 9e</t>
        </is>
      </c>
      <c r="D1085" s="219" t="inlineStr">
        <is>
          <t>XEV 9e Pack One</t>
        </is>
      </c>
      <c r="E1085" s="220" t="inlineStr">
        <is>
          <t>Desert Myst</t>
        </is>
      </c>
    </row>
    <row r="1086" ht="15" customHeight="1">
      <c r="A1086" s="216" t="n">
        <v>1082</v>
      </c>
      <c r="B1086" s="217" t="inlineStr">
        <is>
          <t>Mahindra</t>
        </is>
      </c>
      <c r="C1086" s="218" t="inlineStr">
        <is>
          <t>XEV 9e</t>
        </is>
      </c>
      <c r="D1086" s="219" t="inlineStr">
        <is>
          <t>XEV 9e Pack One</t>
        </is>
      </c>
      <c r="E1086" s="220" t="inlineStr">
        <is>
          <t>Everest White</t>
        </is>
      </c>
    </row>
    <row r="1087" ht="15" customHeight="1">
      <c r="A1087" s="216" t="n">
        <v>1083</v>
      </c>
      <c r="B1087" s="217" t="inlineStr">
        <is>
          <t>Mahindra</t>
        </is>
      </c>
      <c r="C1087" s="218" t="inlineStr">
        <is>
          <t>XEV 9e</t>
        </is>
      </c>
      <c r="D1087" s="219" t="inlineStr">
        <is>
          <t>XEV 9e Pack One</t>
        </is>
      </c>
      <c r="E1087" s="220" t="inlineStr">
        <is>
          <t>Nebula Blue</t>
        </is>
      </c>
    </row>
    <row r="1088" ht="15" customHeight="1">
      <c r="A1088" s="216" t="n">
        <v>1084</v>
      </c>
      <c r="B1088" s="217" t="inlineStr">
        <is>
          <t>Mahindra</t>
        </is>
      </c>
      <c r="C1088" s="218" t="inlineStr">
        <is>
          <t>XEV 9e</t>
        </is>
      </c>
      <c r="D1088" s="219" t="inlineStr">
        <is>
          <t>XEV 9e Pack One</t>
        </is>
      </c>
      <c r="E1088" s="220" t="inlineStr">
        <is>
          <t>Ruby Velvet</t>
        </is>
      </c>
    </row>
    <row r="1089" ht="15" customHeight="1">
      <c r="A1089" s="216" t="n">
        <v>1085</v>
      </c>
      <c r="B1089" s="217" t="inlineStr">
        <is>
          <t>Mahindra</t>
        </is>
      </c>
      <c r="C1089" s="218" t="inlineStr">
        <is>
          <t>XEV 9e</t>
        </is>
      </c>
      <c r="D1089" s="219" t="inlineStr">
        <is>
          <t>XEV 9e Pack One</t>
        </is>
      </c>
      <c r="E1089" s="220" t="inlineStr">
        <is>
          <t>Stealth Black</t>
        </is>
      </c>
    </row>
    <row r="1090" ht="15" customHeight="1">
      <c r="A1090" s="216" t="n">
        <v>1086</v>
      </c>
      <c r="B1090" s="217" t="inlineStr">
        <is>
          <t>Mahindra</t>
        </is>
      </c>
      <c r="C1090" s="218" t="inlineStr">
        <is>
          <t>XEV 9e</t>
        </is>
      </c>
      <c r="D1090" s="219" t="inlineStr">
        <is>
          <t>XEV 9e Pack One</t>
        </is>
      </c>
      <c r="E1090" s="220" t="inlineStr">
        <is>
          <t>Tango Red</t>
        </is>
      </c>
    </row>
    <row r="1091" ht="15" customHeight="1">
      <c r="A1091" s="216" t="n">
        <v>1087</v>
      </c>
      <c r="B1091" s="217" t="inlineStr">
        <is>
          <t>Mahindra</t>
        </is>
      </c>
      <c r="C1091" s="218" t="inlineStr">
        <is>
          <t>XEV 9e</t>
        </is>
      </c>
      <c r="D1091" s="219" t="inlineStr">
        <is>
          <t>XEV 9e Pack Three</t>
        </is>
      </c>
      <c r="E1091" s="220" t="inlineStr">
        <is>
          <t>Deep Forest</t>
        </is>
      </c>
    </row>
    <row r="1092" ht="15" customHeight="1">
      <c r="A1092" s="216" t="n">
        <v>1088</v>
      </c>
      <c r="B1092" s="217" t="inlineStr">
        <is>
          <t>Mahindra</t>
        </is>
      </c>
      <c r="C1092" s="218" t="inlineStr">
        <is>
          <t>XEV 9e</t>
        </is>
      </c>
      <c r="D1092" s="219" t="inlineStr">
        <is>
          <t>XEV 9e Pack Three</t>
        </is>
      </c>
      <c r="E1092" s="220" t="inlineStr">
        <is>
          <t>Desert Myst</t>
        </is>
      </c>
    </row>
    <row r="1093" ht="15" customHeight="1">
      <c r="A1093" s="216" t="n">
        <v>1089</v>
      </c>
      <c r="B1093" s="217" t="inlineStr">
        <is>
          <t>Mahindra</t>
        </is>
      </c>
      <c r="C1093" s="218" t="inlineStr">
        <is>
          <t>XEV 9e</t>
        </is>
      </c>
      <c r="D1093" s="219" t="inlineStr">
        <is>
          <t>XEV 9e Pack Three</t>
        </is>
      </c>
      <c r="E1093" s="220" t="inlineStr">
        <is>
          <t>Everest White</t>
        </is>
      </c>
    </row>
    <row r="1094" ht="15" customHeight="1">
      <c r="A1094" s="216" t="n">
        <v>1090</v>
      </c>
      <c r="B1094" s="217" t="inlineStr">
        <is>
          <t>Mahindra</t>
        </is>
      </c>
      <c r="C1094" s="218" t="inlineStr">
        <is>
          <t>XEV 9e</t>
        </is>
      </c>
      <c r="D1094" s="219" t="inlineStr">
        <is>
          <t>XEV 9e Pack Three</t>
        </is>
      </c>
      <c r="E1094" s="220" t="inlineStr">
        <is>
          <t>Nebula Blue</t>
        </is>
      </c>
    </row>
    <row r="1095" ht="15" customHeight="1">
      <c r="A1095" s="216" t="n">
        <v>1091</v>
      </c>
      <c r="B1095" s="217" t="inlineStr">
        <is>
          <t>Mahindra</t>
        </is>
      </c>
      <c r="C1095" s="218" t="inlineStr">
        <is>
          <t>XEV 9e</t>
        </is>
      </c>
      <c r="D1095" s="219" t="inlineStr">
        <is>
          <t>XEV 9e Pack Three</t>
        </is>
      </c>
      <c r="E1095" s="220" t="inlineStr">
        <is>
          <t>Ruby Velvet</t>
        </is>
      </c>
    </row>
    <row r="1096" ht="15" customHeight="1">
      <c r="A1096" s="216" t="n">
        <v>1092</v>
      </c>
      <c r="B1096" s="217" t="inlineStr">
        <is>
          <t>Mahindra</t>
        </is>
      </c>
      <c r="C1096" s="218" t="inlineStr">
        <is>
          <t>XEV 9e</t>
        </is>
      </c>
      <c r="D1096" s="219" t="inlineStr">
        <is>
          <t>XEV 9e Pack Three</t>
        </is>
      </c>
      <c r="E1096" s="220" t="inlineStr">
        <is>
          <t>Stealth Black</t>
        </is>
      </c>
    </row>
    <row r="1097" ht="15" customHeight="1">
      <c r="A1097" s="216" t="n">
        <v>1093</v>
      </c>
      <c r="B1097" s="217" t="inlineStr">
        <is>
          <t>Mahindra</t>
        </is>
      </c>
      <c r="C1097" s="218" t="inlineStr">
        <is>
          <t>XEV 9e</t>
        </is>
      </c>
      <c r="D1097" s="219" t="inlineStr">
        <is>
          <t>XEV 9e Pack Three</t>
        </is>
      </c>
      <c r="E1097" s="220" t="inlineStr">
        <is>
          <t>Tango Red</t>
        </is>
      </c>
    </row>
    <row r="1098" ht="15" customHeight="1">
      <c r="A1098" s="216" t="n">
        <v>1094</v>
      </c>
      <c r="B1098" s="217" t="inlineStr">
        <is>
          <t>Mahindra</t>
        </is>
      </c>
      <c r="C1098" s="218" t="inlineStr">
        <is>
          <t>XEV 9e</t>
        </is>
      </c>
      <c r="D1098" s="219" t="inlineStr">
        <is>
          <t>XEV 9e Pack Three Select</t>
        </is>
      </c>
      <c r="E1098" s="220" t="inlineStr">
        <is>
          <t>Deep Forest</t>
        </is>
      </c>
    </row>
    <row r="1099" ht="15" customHeight="1">
      <c r="A1099" s="216" t="n">
        <v>1095</v>
      </c>
      <c r="B1099" s="217" t="inlineStr">
        <is>
          <t>Mahindra</t>
        </is>
      </c>
      <c r="C1099" s="218" t="inlineStr">
        <is>
          <t>XEV 9e</t>
        </is>
      </c>
      <c r="D1099" s="219" t="inlineStr">
        <is>
          <t>XEV 9e Pack Three Select</t>
        </is>
      </c>
      <c r="E1099" s="220" t="inlineStr">
        <is>
          <t>Desert Myst</t>
        </is>
      </c>
    </row>
    <row r="1100" ht="15" customHeight="1">
      <c r="A1100" s="216" t="n">
        <v>1096</v>
      </c>
      <c r="B1100" s="217" t="inlineStr">
        <is>
          <t>Mahindra</t>
        </is>
      </c>
      <c r="C1100" s="218" t="inlineStr">
        <is>
          <t>XEV 9e</t>
        </is>
      </c>
      <c r="D1100" s="219" t="inlineStr">
        <is>
          <t>XEV 9e Pack Three Select</t>
        </is>
      </c>
      <c r="E1100" s="220" t="inlineStr">
        <is>
          <t>Everest White</t>
        </is>
      </c>
    </row>
    <row r="1101" ht="15" customHeight="1">
      <c r="A1101" s="216" t="n">
        <v>1097</v>
      </c>
      <c r="B1101" s="217" t="inlineStr">
        <is>
          <t>Mahindra</t>
        </is>
      </c>
      <c r="C1101" s="218" t="inlineStr">
        <is>
          <t>XEV 9e</t>
        </is>
      </c>
      <c r="D1101" s="219" t="inlineStr">
        <is>
          <t>XEV 9e Pack Three Select</t>
        </is>
      </c>
      <c r="E1101" s="220" t="inlineStr">
        <is>
          <t>Nebula Blue</t>
        </is>
      </c>
    </row>
    <row r="1102" ht="15" customHeight="1">
      <c r="A1102" s="216" t="n">
        <v>1098</v>
      </c>
      <c r="B1102" s="217" t="inlineStr">
        <is>
          <t>Mahindra</t>
        </is>
      </c>
      <c r="C1102" s="218" t="inlineStr">
        <is>
          <t>XEV 9e</t>
        </is>
      </c>
      <c r="D1102" s="219" t="inlineStr">
        <is>
          <t>XEV 9e Pack Three Select</t>
        </is>
      </c>
      <c r="E1102" s="220" t="inlineStr">
        <is>
          <t>Ruby Velvet</t>
        </is>
      </c>
    </row>
    <row r="1103" ht="15" customHeight="1">
      <c r="A1103" s="216" t="n">
        <v>1099</v>
      </c>
      <c r="B1103" s="217" t="inlineStr">
        <is>
          <t>Mahindra</t>
        </is>
      </c>
      <c r="C1103" s="218" t="inlineStr">
        <is>
          <t>XEV 9e</t>
        </is>
      </c>
      <c r="D1103" s="219" t="inlineStr">
        <is>
          <t>XEV 9e Pack Three Select</t>
        </is>
      </c>
      <c r="E1103" s="220" t="inlineStr">
        <is>
          <t>Stealth Black</t>
        </is>
      </c>
    </row>
    <row r="1104" ht="15" customHeight="1">
      <c r="A1104" s="216" t="n">
        <v>1100</v>
      </c>
      <c r="B1104" s="217" t="inlineStr">
        <is>
          <t>Mahindra</t>
        </is>
      </c>
      <c r="C1104" s="218" t="inlineStr">
        <is>
          <t>XEV 9e</t>
        </is>
      </c>
      <c r="D1104" s="219" t="inlineStr">
        <is>
          <t>XEV 9e Pack Three Select</t>
        </is>
      </c>
      <c r="E1104" s="220" t="inlineStr">
        <is>
          <t>Tango Red</t>
        </is>
      </c>
    </row>
    <row r="1105" ht="15" customHeight="1">
      <c r="A1105" s="216" t="n">
        <v>1101</v>
      </c>
      <c r="B1105" s="217" t="inlineStr">
        <is>
          <t>Mahindra</t>
        </is>
      </c>
      <c r="C1105" s="218" t="inlineStr">
        <is>
          <t>XEV 9e</t>
        </is>
      </c>
      <c r="D1105" s="219" t="inlineStr">
        <is>
          <t>XEV 9e Pack Two</t>
        </is>
      </c>
      <c r="E1105" s="220" t="inlineStr">
        <is>
          <t>Deep Forest</t>
        </is>
      </c>
    </row>
    <row r="1106" ht="15" customHeight="1">
      <c r="A1106" s="216" t="n">
        <v>1102</v>
      </c>
      <c r="B1106" s="217" t="inlineStr">
        <is>
          <t>Mahindra</t>
        </is>
      </c>
      <c r="C1106" s="218" t="inlineStr">
        <is>
          <t>XEV 9e</t>
        </is>
      </c>
      <c r="D1106" s="219" t="inlineStr">
        <is>
          <t>XEV 9e Pack Two</t>
        </is>
      </c>
      <c r="E1106" s="220" t="inlineStr">
        <is>
          <t>Desert Myst</t>
        </is>
      </c>
    </row>
    <row r="1107" ht="15" customHeight="1">
      <c r="A1107" s="216" t="n">
        <v>1103</v>
      </c>
      <c r="B1107" s="217" t="inlineStr">
        <is>
          <t>Mahindra</t>
        </is>
      </c>
      <c r="C1107" s="218" t="inlineStr">
        <is>
          <t>XEV 9e</t>
        </is>
      </c>
      <c r="D1107" s="219" t="inlineStr">
        <is>
          <t>XEV 9e Pack Two</t>
        </is>
      </c>
      <c r="E1107" s="220" t="inlineStr">
        <is>
          <t>Everest White</t>
        </is>
      </c>
    </row>
    <row r="1108" ht="15" customHeight="1">
      <c r="A1108" s="216" t="n">
        <v>1104</v>
      </c>
      <c r="B1108" s="217" t="inlineStr">
        <is>
          <t>Mahindra</t>
        </is>
      </c>
      <c r="C1108" s="218" t="inlineStr">
        <is>
          <t>XEV 9e</t>
        </is>
      </c>
      <c r="D1108" s="219" t="inlineStr">
        <is>
          <t>XEV 9e Pack Two</t>
        </is>
      </c>
      <c r="E1108" s="220" t="inlineStr">
        <is>
          <t>Nebula Blue</t>
        </is>
      </c>
    </row>
    <row r="1109" ht="15" customHeight="1">
      <c r="A1109" s="216" t="n">
        <v>1105</v>
      </c>
      <c r="B1109" s="217" t="inlineStr">
        <is>
          <t>Mahindra</t>
        </is>
      </c>
      <c r="C1109" s="218" t="inlineStr">
        <is>
          <t>XEV 9e</t>
        </is>
      </c>
      <c r="D1109" s="219" t="inlineStr">
        <is>
          <t>XEV 9e Pack Two</t>
        </is>
      </c>
      <c r="E1109" s="220" t="inlineStr">
        <is>
          <t>Ruby Velvet</t>
        </is>
      </c>
    </row>
    <row r="1110" ht="15" customHeight="1">
      <c r="A1110" s="216" t="n">
        <v>1106</v>
      </c>
      <c r="B1110" s="217" t="inlineStr">
        <is>
          <t>Mahindra</t>
        </is>
      </c>
      <c r="C1110" s="218" t="inlineStr">
        <is>
          <t>XEV 9e</t>
        </is>
      </c>
      <c r="D1110" s="219" t="inlineStr">
        <is>
          <t>XEV 9e Pack Two</t>
        </is>
      </c>
      <c r="E1110" s="220" t="inlineStr">
        <is>
          <t>Stealth Black</t>
        </is>
      </c>
    </row>
    <row r="1111" ht="15" customHeight="1">
      <c r="A1111" s="216" t="n">
        <v>1107</v>
      </c>
      <c r="B1111" s="217" t="inlineStr">
        <is>
          <t>Mahindra</t>
        </is>
      </c>
      <c r="C1111" s="218" t="inlineStr">
        <is>
          <t>XEV 9e</t>
        </is>
      </c>
      <c r="D1111" s="219" t="inlineStr">
        <is>
          <t>XEV 9e Pack Two</t>
        </is>
      </c>
      <c r="E1111" s="220" t="inlineStr">
        <is>
          <t>Tango Red</t>
        </is>
      </c>
    </row>
    <row r="1112" ht="15" customHeight="1">
      <c r="A1112" s="216" t="n">
        <v>1108</v>
      </c>
      <c r="B1112" s="217" t="inlineStr">
        <is>
          <t>Mahindra</t>
        </is>
      </c>
      <c r="C1112" s="218" t="inlineStr">
        <is>
          <t>XUV 3XO</t>
        </is>
      </c>
      <c r="D1112" s="219" t="inlineStr">
        <is>
          <t>XUV 3XO AX5</t>
        </is>
      </c>
      <c r="E1112" s="220" t="inlineStr">
        <is>
          <t>Citrine Yellow</t>
        </is>
      </c>
    </row>
    <row r="1113" ht="15" customHeight="1">
      <c r="A1113" s="216" t="n">
        <v>1109</v>
      </c>
      <c r="B1113" s="217" t="inlineStr">
        <is>
          <t>Mahindra</t>
        </is>
      </c>
      <c r="C1113" s="218" t="inlineStr">
        <is>
          <t>XUV 3XO</t>
        </is>
      </c>
      <c r="D1113" s="219" t="inlineStr">
        <is>
          <t>XUV 3XO AX5L</t>
        </is>
      </c>
      <c r="E1113" s="220" t="inlineStr">
        <is>
          <t>Citrine Yellow</t>
        </is>
      </c>
    </row>
    <row r="1114" ht="15" customHeight="1">
      <c r="A1114" s="216" t="n">
        <v>1110</v>
      </c>
      <c r="B1114" s="217" t="inlineStr">
        <is>
          <t>Mahindra</t>
        </is>
      </c>
      <c r="C1114" s="218" t="inlineStr">
        <is>
          <t>XUV 3XO</t>
        </is>
      </c>
      <c r="D1114" s="219" t="inlineStr">
        <is>
          <t>XUV 3XO AX7</t>
        </is>
      </c>
      <c r="E1114" s="220" t="inlineStr">
        <is>
          <t>Citrine Yellow with Stealth Black</t>
        </is>
      </c>
    </row>
    <row r="1115" ht="15" customHeight="1">
      <c r="A1115" s="216" t="n">
        <v>1111</v>
      </c>
      <c r="B1115" s="217" t="inlineStr">
        <is>
          <t>Mahindra</t>
        </is>
      </c>
      <c r="C1115" s="218" t="inlineStr">
        <is>
          <t>XUV 3XO</t>
        </is>
      </c>
      <c r="D1115" s="219" t="inlineStr">
        <is>
          <t>XUV 3XO AX7</t>
        </is>
      </c>
      <c r="E1115" s="220" t="inlineStr">
        <is>
          <t>Deep Forest with Galvono Grey</t>
        </is>
      </c>
    </row>
    <row r="1116" ht="15" customHeight="1">
      <c r="A1116" s="216" t="n">
        <v>1112</v>
      </c>
      <c r="B1116" s="217" t="inlineStr">
        <is>
          <t>Mahindra</t>
        </is>
      </c>
      <c r="C1116" s="218" t="inlineStr">
        <is>
          <t>XUV 3XO</t>
        </is>
      </c>
      <c r="D1116" s="219" t="inlineStr">
        <is>
          <t>XUV 3XO AX7</t>
        </is>
      </c>
      <c r="E1116" s="220" t="inlineStr">
        <is>
          <t>Dune Beige with Stealth Black</t>
        </is>
      </c>
    </row>
    <row r="1117" ht="15" customHeight="1">
      <c r="A1117" s="216" t="n">
        <v>1113</v>
      </c>
      <c r="B1117" s="217" t="inlineStr">
        <is>
          <t>Mahindra</t>
        </is>
      </c>
      <c r="C1117" s="218" t="inlineStr">
        <is>
          <t>XUV 3XO</t>
        </is>
      </c>
      <c r="D1117" s="219" t="inlineStr">
        <is>
          <t>XUV 3XO AX7</t>
        </is>
      </c>
      <c r="E1117" s="220" t="inlineStr">
        <is>
          <t>Everest White with Stealth Black</t>
        </is>
      </c>
    </row>
    <row r="1118" ht="15" customHeight="1">
      <c r="A1118" s="216" t="n">
        <v>1114</v>
      </c>
      <c r="B1118" s="217" t="inlineStr">
        <is>
          <t>Mahindra</t>
        </is>
      </c>
      <c r="C1118" s="218" t="inlineStr">
        <is>
          <t>XUV 3XO</t>
        </is>
      </c>
      <c r="D1118" s="219" t="inlineStr">
        <is>
          <t>XUV 3XO AX7</t>
        </is>
      </c>
      <c r="E1118" s="220" t="inlineStr">
        <is>
          <t>Galvono Grey with Stealth Black</t>
        </is>
      </c>
    </row>
    <row r="1119" ht="15" customHeight="1">
      <c r="A1119" s="216" t="n">
        <v>1115</v>
      </c>
      <c r="B1119" s="217" t="inlineStr">
        <is>
          <t>Mahindra</t>
        </is>
      </c>
      <c r="C1119" s="218" t="inlineStr">
        <is>
          <t>XUV 3XO</t>
        </is>
      </c>
      <c r="D1119" s="219" t="inlineStr">
        <is>
          <t>XUV 3XO AX7</t>
        </is>
      </c>
      <c r="E1119" s="220" t="inlineStr">
        <is>
          <t>Nebula Blue with Galvano Grey</t>
        </is>
      </c>
    </row>
    <row r="1120" ht="15" customHeight="1">
      <c r="A1120" s="216" t="n">
        <v>1116</v>
      </c>
      <c r="B1120" s="217" t="inlineStr">
        <is>
          <t>Mahindra</t>
        </is>
      </c>
      <c r="C1120" s="218" t="inlineStr">
        <is>
          <t>XUV 3XO</t>
        </is>
      </c>
      <c r="D1120" s="219" t="inlineStr">
        <is>
          <t>XUV 3XO AX7</t>
        </is>
      </c>
      <c r="E1120" s="220" t="inlineStr">
        <is>
          <t>Stealth Black with Galvono Grey</t>
        </is>
      </c>
    </row>
    <row r="1121" ht="15" customHeight="1">
      <c r="A1121" s="216" t="n">
        <v>1117</v>
      </c>
      <c r="B1121" s="217" t="inlineStr">
        <is>
          <t>Mahindra</t>
        </is>
      </c>
      <c r="C1121" s="218" t="inlineStr">
        <is>
          <t>XUV 3XO</t>
        </is>
      </c>
      <c r="D1121" s="219" t="inlineStr">
        <is>
          <t>XUV 3XO AX7</t>
        </is>
      </c>
      <c r="E1121" s="220" t="inlineStr">
        <is>
          <t>Tango Red with Stealth Black</t>
        </is>
      </c>
    </row>
    <row r="1122" ht="15" customHeight="1">
      <c r="A1122" s="216" t="n">
        <v>1118</v>
      </c>
      <c r="B1122" s="217" t="inlineStr">
        <is>
          <t>Mahindra</t>
        </is>
      </c>
      <c r="C1122" s="218" t="inlineStr">
        <is>
          <t>XUV 3XO</t>
        </is>
      </c>
      <c r="D1122" s="219" t="inlineStr">
        <is>
          <t>XUV 3XO AX7L</t>
        </is>
      </c>
      <c r="E1122" s="220" t="inlineStr">
        <is>
          <t>Citrine Yellow with Stealth Black</t>
        </is>
      </c>
    </row>
    <row r="1123" ht="15" customHeight="1">
      <c r="A1123" s="216" t="n">
        <v>1119</v>
      </c>
      <c r="B1123" s="217" t="inlineStr">
        <is>
          <t>Mahindra</t>
        </is>
      </c>
      <c r="C1123" s="218" t="inlineStr">
        <is>
          <t>XUV 3XO</t>
        </is>
      </c>
      <c r="D1123" s="219" t="inlineStr">
        <is>
          <t>XUV 3XO AX7L</t>
        </is>
      </c>
      <c r="E1123" s="220" t="inlineStr">
        <is>
          <t>Deep Forest with Galvono Grey</t>
        </is>
      </c>
    </row>
    <row r="1124" ht="15" customHeight="1">
      <c r="A1124" s="216" t="n">
        <v>1120</v>
      </c>
      <c r="B1124" s="217" t="inlineStr">
        <is>
          <t>Mahindra</t>
        </is>
      </c>
      <c r="C1124" s="218" t="inlineStr">
        <is>
          <t>XUV 3XO</t>
        </is>
      </c>
      <c r="D1124" s="219" t="inlineStr">
        <is>
          <t>XUV 3XO AX7L</t>
        </is>
      </c>
      <c r="E1124" s="220" t="inlineStr">
        <is>
          <t>Dune Beige with Stealth Black</t>
        </is>
      </c>
    </row>
    <row r="1125" ht="15" customHeight="1">
      <c r="A1125" s="216" t="n">
        <v>1121</v>
      </c>
      <c r="B1125" s="217" t="inlineStr">
        <is>
          <t>Mahindra</t>
        </is>
      </c>
      <c r="C1125" s="218" t="inlineStr">
        <is>
          <t>XUV 3XO</t>
        </is>
      </c>
      <c r="D1125" s="219" t="inlineStr">
        <is>
          <t>XUV 3XO AX7L</t>
        </is>
      </c>
      <c r="E1125" s="220" t="inlineStr">
        <is>
          <t>Everest White with Stealth Black</t>
        </is>
      </c>
    </row>
    <row r="1126" ht="15" customHeight="1">
      <c r="A1126" s="216" t="n">
        <v>1122</v>
      </c>
      <c r="B1126" s="217" t="inlineStr">
        <is>
          <t>Mahindra</t>
        </is>
      </c>
      <c r="C1126" s="218" t="inlineStr">
        <is>
          <t>XUV 3XO</t>
        </is>
      </c>
      <c r="D1126" s="219" t="inlineStr">
        <is>
          <t>XUV 3XO AX7L</t>
        </is>
      </c>
      <c r="E1126" s="220" t="inlineStr">
        <is>
          <t>Galvono Grey with Stealth Black</t>
        </is>
      </c>
    </row>
    <row r="1127" ht="15" customHeight="1">
      <c r="A1127" s="216" t="n">
        <v>1123</v>
      </c>
      <c r="B1127" s="217" t="inlineStr">
        <is>
          <t>Mahindra</t>
        </is>
      </c>
      <c r="C1127" s="218" t="inlineStr">
        <is>
          <t>XUV 3XO</t>
        </is>
      </c>
      <c r="D1127" s="219" t="inlineStr">
        <is>
          <t>XUV 3XO AX7L</t>
        </is>
      </c>
      <c r="E1127" s="220" t="inlineStr">
        <is>
          <t>Nebula Blue with Galvano Grey</t>
        </is>
      </c>
    </row>
    <row r="1128" ht="15" customHeight="1">
      <c r="A1128" s="216" t="n">
        <v>1124</v>
      </c>
      <c r="B1128" s="217" t="inlineStr">
        <is>
          <t>Mahindra</t>
        </is>
      </c>
      <c r="C1128" s="218" t="inlineStr">
        <is>
          <t>XUV 3XO</t>
        </is>
      </c>
      <c r="D1128" s="219" t="inlineStr">
        <is>
          <t>XUV 3XO AX7L</t>
        </is>
      </c>
      <c r="E1128" s="220" t="inlineStr">
        <is>
          <t>Stealth Black with Galvono Grey</t>
        </is>
      </c>
    </row>
    <row r="1129" ht="15" customHeight="1">
      <c r="A1129" s="216" t="n">
        <v>1125</v>
      </c>
      <c r="B1129" s="217" t="inlineStr">
        <is>
          <t>Mahindra</t>
        </is>
      </c>
      <c r="C1129" s="218" t="inlineStr">
        <is>
          <t>XUV 3XO</t>
        </is>
      </c>
      <c r="D1129" s="219" t="inlineStr">
        <is>
          <t>XUV 3XO AX7L</t>
        </is>
      </c>
      <c r="E1129" s="220" t="inlineStr">
        <is>
          <t>Tango Red with Stealth Black</t>
        </is>
      </c>
    </row>
    <row r="1130" ht="15" customHeight="1">
      <c r="A1130" s="216" t="n">
        <v>1126</v>
      </c>
      <c r="B1130" s="217" t="inlineStr">
        <is>
          <t>Mahindra</t>
        </is>
      </c>
      <c r="C1130" s="218" t="inlineStr">
        <is>
          <t>XUV 400 EV</t>
        </is>
      </c>
      <c r="D1130" s="219" t="inlineStr">
        <is>
          <t>XUV400 EC PRO</t>
        </is>
      </c>
      <c r="E1130" s="220" t="inlineStr">
        <is>
          <t>Arctic Blue</t>
        </is>
      </c>
    </row>
    <row r="1131" ht="15" customHeight="1">
      <c r="A1131" s="216" t="n">
        <v>1127</v>
      </c>
      <c r="B1131" s="217" t="inlineStr">
        <is>
          <t>Mahindra</t>
        </is>
      </c>
      <c r="C1131" s="218" t="inlineStr">
        <is>
          <t>XUV 400 EV</t>
        </is>
      </c>
      <c r="D1131" s="219" t="inlineStr">
        <is>
          <t>XUV400 EC PRO</t>
        </is>
      </c>
      <c r="E1131" s="220" t="inlineStr">
        <is>
          <t>Everest White</t>
        </is>
      </c>
    </row>
    <row r="1132" ht="15" customHeight="1">
      <c r="A1132" s="216" t="n">
        <v>1128</v>
      </c>
      <c r="B1132" s="217" t="inlineStr">
        <is>
          <t>Mahindra</t>
        </is>
      </c>
      <c r="C1132" s="218" t="inlineStr">
        <is>
          <t>XUV 400 EV</t>
        </is>
      </c>
      <c r="D1132" s="219" t="inlineStr">
        <is>
          <t>XUV400 EC PRO</t>
        </is>
      </c>
      <c r="E1132" s="220" t="inlineStr">
        <is>
          <t>Galaxy Grey</t>
        </is>
      </c>
    </row>
    <row r="1133" ht="15" customHeight="1">
      <c r="A1133" s="216" t="n">
        <v>1129</v>
      </c>
      <c r="B1133" s="217" t="inlineStr">
        <is>
          <t>Mahindra</t>
        </is>
      </c>
      <c r="C1133" s="218" t="inlineStr">
        <is>
          <t>XUV 400 EV</t>
        </is>
      </c>
      <c r="D1133" s="219" t="inlineStr">
        <is>
          <t>XUV400 EC PRO</t>
        </is>
      </c>
      <c r="E1133" s="220" t="inlineStr">
        <is>
          <t>Nebula Blue</t>
        </is>
      </c>
    </row>
    <row r="1134" ht="15" customHeight="1">
      <c r="A1134" s="216" t="n">
        <v>1130</v>
      </c>
      <c r="B1134" s="217" t="inlineStr">
        <is>
          <t>Mahindra</t>
        </is>
      </c>
      <c r="C1134" s="218" t="inlineStr">
        <is>
          <t>XUV 400 EV</t>
        </is>
      </c>
      <c r="D1134" s="219" t="inlineStr">
        <is>
          <t>XUV400 EL PRO</t>
        </is>
      </c>
      <c r="E1134" s="220" t="inlineStr">
        <is>
          <t>Arctic Blue</t>
        </is>
      </c>
    </row>
    <row r="1135" ht="15" customHeight="1">
      <c r="A1135" s="216" t="n">
        <v>1131</v>
      </c>
      <c r="B1135" s="217" t="inlineStr">
        <is>
          <t>Mahindra</t>
        </is>
      </c>
      <c r="C1135" s="218" t="inlineStr">
        <is>
          <t>XUV 400 EV</t>
        </is>
      </c>
      <c r="D1135" s="219" t="inlineStr">
        <is>
          <t>XUV400 EL PRO</t>
        </is>
      </c>
      <c r="E1135" s="220" t="inlineStr">
        <is>
          <t>Everest White</t>
        </is>
      </c>
    </row>
    <row r="1136" ht="15" customHeight="1">
      <c r="A1136" s="216" t="n">
        <v>1132</v>
      </c>
      <c r="B1136" s="217" t="inlineStr">
        <is>
          <t>Mahindra</t>
        </is>
      </c>
      <c r="C1136" s="218" t="inlineStr">
        <is>
          <t>XUV 400 EV</t>
        </is>
      </c>
      <c r="D1136" s="219" t="inlineStr">
        <is>
          <t>XUV400 EL PRO</t>
        </is>
      </c>
      <c r="E1136" s="220" t="inlineStr">
        <is>
          <t>Galaxy Grey</t>
        </is>
      </c>
    </row>
    <row r="1137" ht="15" customHeight="1">
      <c r="A1137" s="216" t="n">
        <v>1133</v>
      </c>
      <c r="B1137" s="217" t="inlineStr">
        <is>
          <t>Mahindra</t>
        </is>
      </c>
      <c r="C1137" s="218" t="inlineStr">
        <is>
          <t>XUV 400 EV</t>
        </is>
      </c>
      <c r="D1137" s="219" t="inlineStr">
        <is>
          <t>XUV400 EL PRO</t>
        </is>
      </c>
      <c r="E1137" s="220" t="inlineStr">
        <is>
          <t>Nebula Blue</t>
        </is>
      </c>
    </row>
    <row r="1138" ht="15" customHeight="1">
      <c r="A1138" s="216" t="n">
        <v>1134</v>
      </c>
      <c r="B1138" s="217" t="inlineStr">
        <is>
          <t>Mahindra</t>
        </is>
      </c>
      <c r="C1138" s="218" t="inlineStr">
        <is>
          <t>XUV 7XO</t>
        </is>
      </c>
      <c r="D1138" s="219" t="inlineStr">
        <is>
          <t>XUV 7XO AX</t>
        </is>
      </c>
      <c r="E1138" s="220" t="inlineStr">
        <is>
          <t>Everest White</t>
        </is>
      </c>
    </row>
    <row r="1139" ht="15" customHeight="1">
      <c r="A1139" s="216" t="n">
        <v>1135</v>
      </c>
      <c r="B1139" s="217" t="inlineStr">
        <is>
          <t>Mahindra</t>
        </is>
      </c>
      <c r="C1139" s="218" t="inlineStr">
        <is>
          <t>XUV 7XO</t>
        </is>
      </c>
      <c r="D1139" s="219" t="inlineStr">
        <is>
          <t>XUV 7XO AX</t>
        </is>
      </c>
      <c r="E1139" s="220" t="inlineStr">
        <is>
          <t>Galaxy Grey</t>
        </is>
      </c>
    </row>
    <row r="1140" ht="15" customHeight="1">
      <c r="A1140" s="216" t="n">
        <v>1136</v>
      </c>
      <c r="B1140" s="217" t="inlineStr">
        <is>
          <t>Mahindra</t>
        </is>
      </c>
      <c r="C1140" s="218" t="inlineStr">
        <is>
          <t>XUV 7XO</t>
        </is>
      </c>
      <c r="D1140" s="219" t="inlineStr">
        <is>
          <t>XUV 7XO AX</t>
        </is>
      </c>
      <c r="E1140" s="220" t="inlineStr">
        <is>
          <t>Midnight Black</t>
        </is>
      </c>
    </row>
    <row r="1141" ht="15" customHeight="1">
      <c r="A1141" s="216" t="n">
        <v>1137</v>
      </c>
      <c r="B1141" s="217" t="inlineStr">
        <is>
          <t>Mahindra</t>
        </is>
      </c>
      <c r="C1141" s="218" t="inlineStr">
        <is>
          <t>XUV 7XO</t>
        </is>
      </c>
      <c r="D1141" s="219" t="inlineStr">
        <is>
          <t>XUV 7XO AX</t>
        </is>
      </c>
      <c r="E1141" s="220" t="inlineStr">
        <is>
          <t>Nebula Blue</t>
        </is>
      </c>
    </row>
    <row r="1142" ht="15" customHeight="1">
      <c r="A1142" s="216" t="n">
        <v>1138</v>
      </c>
      <c r="B1142" s="217" t="inlineStr">
        <is>
          <t>Mahindra</t>
        </is>
      </c>
      <c r="C1142" s="218" t="inlineStr">
        <is>
          <t>XUV 7XO</t>
        </is>
      </c>
      <c r="D1142" s="219" t="inlineStr">
        <is>
          <t>XUV 7XO AX</t>
        </is>
      </c>
      <c r="E1142" s="220" t="inlineStr">
        <is>
          <t>Stealth Black</t>
        </is>
      </c>
    </row>
    <row r="1143" ht="15" customHeight="1">
      <c r="A1143" s="216" t="n">
        <v>1139</v>
      </c>
      <c r="B1143" s="217" t="inlineStr">
        <is>
          <t>Mahindra</t>
        </is>
      </c>
      <c r="C1143" s="218" t="inlineStr">
        <is>
          <t>XUV 7XO</t>
        </is>
      </c>
      <c r="D1143" s="219" t="inlineStr">
        <is>
          <t>XUV 7XO AX3</t>
        </is>
      </c>
      <c r="E1143" s="220" t="inlineStr">
        <is>
          <t>Desert Myst</t>
        </is>
      </c>
    </row>
    <row r="1144" ht="15" customHeight="1">
      <c r="A1144" s="216" t="n">
        <v>1140</v>
      </c>
      <c r="B1144" s="217" t="inlineStr">
        <is>
          <t>Mahindra</t>
        </is>
      </c>
      <c r="C1144" s="218" t="inlineStr">
        <is>
          <t>XUV 7XO</t>
        </is>
      </c>
      <c r="D1144" s="219" t="inlineStr">
        <is>
          <t>XUV 7XO AX3</t>
        </is>
      </c>
      <c r="E1144" s="220" t="inlineStr">
        <is>
          <t>Everest White</t>
        </is>
      </c>
    </row>
    <row r="1145" ht="15" customHeight="1">
      <c r="A1145" s="216" t="n">
        <v>1141</v>
      </c>
      <c r="B1145" s="217" t="inlineStr">
        <is>
          <t>Mahindra</t>
        </is>
      </c>
      <c r="C1145" s="218" t="inlineStr">
        <is>
          <t>XUV 7XO</t>
        </is>
      </c>
      <c r="D1145" s="219" t="inlineStr">
        <is>
          <t>XUV 7XO AX3</t>
        </is>
      </c>
      <c r="E1145" s="220" t="inlineStr">
        <is>
          <t>Galaxy Grey</t>
        </is>
      </c>
    </row>
    <row r="1146" ht="15" customHeight="1">
      <c r="A1146" s="216" t="n">
        <v>1142</v>
      </c>
      <c r="B1146" s="217" t="inlineStr">
        <is>
          <t>Mahindra</t>
        </is>
      </c>
      <c r="C1146" s="218" t="inlineStr">
        <is>
          <t>XUV 7XO</t>
        </is>
      </c>
      <c r="D1146" s="219" t="inlineStr">
        <is>
          <t>XUV 7XO AX3</t>
        </is>
      </c>
      <c r="E1146" s="220" t="inlineStr">
        <is>
          <t>Midnight Black</t>
        </is>
      </c>
    </row>
    <row r="1147" ht="15" customHeight="1">
      <c r="A1147" s="216" t="n">
        <v>1143</v>
      </c>
      <c r="B1147" s="217" t="inlineStr">
        <is>
          <t>Mahindra</t>
        </is>
      </c>
      <c r="C1147" s="218" t="inlineStr">
        <is>
          <t>XUV 7XO</t>
        </is>
      </c>
      <c r="D1147" s="219" t="inlineStr">
        <is>
          <t>XUV 7XO AX3</t>
        </is>
      </c>
      <c r="E1147" s="220" t="inlineStr">
        <is>
          <t>Nebula Blue</t>
        </is>
      </c>
    </row>
    <row r="1148" ht="15" customHeight="1">
      <c r="A1148" s="216" t="n">
        <v>1144</v>
      </c>
      <c r="B1148" s="217" t="inlineStr">
        <is>
          <t>Mahindra</t>
        </is>
      </c>
      <c r="C1148" s="218" t="inlineStr">
        <is>
          <t>XUV 7XO</t>
        </is>
      </c>
      <c r="D1148" s="219" t="inlineStr">
        <is>
          <t>XUV 7XO AX3</t>
        </is>
      </c>
      <c r="E1148" s="220" t="inlineStr">
        <is>
          <t>Ruby Velvet</t>
        </is>
      </c>
    </row>
    <row r="1149" ht="15" customHeight="1">
      <c r="A1149" s="216" t="n">
        <v>1145</v>
      </c>
      <c r="B1149" s="217" t="inlineStr">
        <is>
          <t>Mahindra</t>
        </is>
      </c>
      <c r="C1149" s="218" t="inlineStr">
        <is>
          <t>XUV 7XO</t>
        </is>
      </c>
      <c r="D1149" s="219" t="inlineStr">
        <is>
          <t>XUV 7XO AX3</t>
        </is>
      </c>
      <c r="E1149" s="220" t="inlineStr">
        <is>
          <t>Stealth Black</t>
        </is>
      </c>
    </row>
    <row r="1150" ht="15" customHeight="1">
      <c r="A1150" s="216" t="n">
        <v>1146</v>
      </c>
      <c r="B1150" s="217" t="inlineStr">
        <is>
          <t>Mahindra</t>
        </is>
      </c>
      <c r="C1150" s="218" t="inlineStr">
        <is>
          <t>XUV 7XO</t>
        </is>
      </c>
      <c r="D1150" s="219" t="inlineStr">
        <is>
          <t>XUV 7XO AX5</t>
        </is>
      </c>
      <c r="E1150" s="220" t="inlineStr">
        <is>
          <t>Desert Myst</t>
        </is>
      </c>
    </row>
    <row r="1151" ht="15" customHeight="1">
      <c r="A1151" s="216" t="n">
        <v>1147</v>
      </c>
      <c r="B1151" s="217" t="inlineStr">
        <is>
          <t>Mahindra</t>
        </is>
      </c>
      <c r="C1151" s="218" t="inlineStr">
        <is>
          <t>XUV 7XO</t>
        </is>
      </c>
      <c r="D1151" s="219" t="inlineStr">
        <is>
          <t>XUV 7XO AX5</t>
        </is>
      </c>
      <c r="E1151" s="220" t="inlineStr">
        <is>
          <t>Everest White</t>
        </is>
      </c>
    </row>
    <row r="1152" ht="15" customHeight="1">
      <c r="A1152" s="216" t="n">
        <v>1148</v>
      </c>
      <c r="B1152" s="217" t="inlineStr">
        <is>
          <t>Mahindra</t>
        </is>
      </c>
      <c r="C1152" s="218" t="inlineStr">
        <is>
          <t>XUV 7XO</t>
        </is>
      </c>
      <c r="D1152" s="219" t="inlineStr">
        <is>
          <t>XUV 7XO AX5</t>
        </is>
      </c>
      <c r="E1152" s="220" t="inlineStr">
        <is>
          <t>Galaxy Grey</t>
        </is>
      </c>
    </row>
    <row r="1153" ht="15" customHeight="1">
      <c r="A1153" s="216" t="n">
        <v>1149</v>
      </c>
      <c r="B1153" s="217" t="inlineStr">
        <is>
          <t>Mahindra</t>
        </is>
      </c>
      <c r="C1153" s="218" t="inlineStr">
        <is>
          <t>XUV 7XO</t>
        </is>
      </c>
      <c r="D1153" s="219" t="inlineStr">
        <is>
          <t>XUV 7XO AX5</t>
        </is>
      </c>
      <c r="E1153" s="220" t="inlineStr">
        <is>
          <t>Midnight Black</t>
        </is>
      </c>
    </row>
    <row r="1154" ht="15" customHeight="1">
      <c r="A1154" s="216" t="n">
        <v>1150</v>
      </c>
      <c r="B1154" s="217" t="inlineStr">
        <is>
          <t>Mahindra</t>
        </is>
      </c>
      <c r="C1154" s="218" t="inlineStr">
        <is>
          <t>XUV 7XO</t>
        </is>
      </c>
      <c r="D1154" s="219" t="inlineStr">
        <is>
          <t>XUV 7XO AX5</t>
        </is>
      </c>
      <c r="E1154" s="220" t="inlineStr">
        <is>
          <t>Nebula Blue</t>
        </is>
      </c>
    </row>
    <row r="1155" ht="15" customHeight="1">
      <c r="A1155" s="216" t="n">
        <v>1151</v>
      </c>
      <c r="B1155" s="217" t="inlineStr">
        <is>
          <t>Mahindra</t>
        </is>
      </c>
      <c r="C1155" s="218" t="inlineStr">
        <is>
          <t>XUV 7XO</t>
        </is>
      </c>
      <c r="D1155" s="219" t="inlineStr">
        <is>
          <t>XUV 7XO AX5</t>
        </is>
      </c>
      <c r="E1155" s="220" t="inlineStr">
        <is>
          <t>Ruby Velvet</t>
        </is>
      </c>
    </row>
    <row r="1156" ht="15" customHeight="1">
      <c r="A1156" s="216" t="n">
        <v>1152</v>
      </c>
      <c r="B1156" s="217" t="inlineStr">
        <is>
          <t>Mahindra</t>
        </is>
      </c>
      <c r="C1156" s="218" t="inlineStr">
        <is>
          <t>XUV 7XO</t>
        </is>
      </c>
      <c r="D1156" s="219" t="inlineStr">
        <is>
          <t>XUV 7XO AX5</t>
        </is>
      </c>
      <c r="E1156" s="220" t="inlineStr">
        <is>
          <t>Stealth Black</t>
        </is>
      </c>
    </row>
    <row r="1157" ht="15" customHeight="1">
      <c r="A1157" s="216" t="n">
        <v>1153</v>
      </c>
      <c r="B1157" s="217" t="inlineStr">
        <is>
          <t>Mahindra</t>
        </is>
      </c>
      <c r="C1157" s="218" t="inlineStr">
        <is>
          <t>XUV 7XO</t>
        </is>
      </c>
      <c r="D1157" s="219" t="inlineStr">
        <is>
          <t>XUV 7XO AX7</t>
        </is>
      </c>
      <c r="E1157" s="220" t="inlineStr">
        <is>
          <t>Desert Myst</t>
        </is>
      </c>
    </row>
    <row r="1158" ht="15" customHeight="1">
      <c r="A1158" s="216" t="n">
        <v>1154</v>
      </c>
      <c r="B1158" s="217" t="inlineStr">
        <is>
          <t>Mahindra</t>
        </is>
      </c>
      <c r="C1158" s="218" t="inlineStr">
        <is>
          <t>XUV 7XO</t>
        </is>
      </c>
      <c r="D1158" s="219" t="inlineStr">
        <is>
          <t>XUV 7XO AX7</t>
        </is>
      </c>
      <c r="E1158" s="220" t="inlineStr">
        <is>
          <t>Everest White</t>
        </is>
      </c>
    </row>
    <row r="1159" ht="15" customHeight="1">
      <c r="A1159" s="216" t="n">
        <v>1155</v>
      </c>
      <c r="B1159" s="217" t="inlineStr">
        <is>
          <t>Mahindra</t>
        </is>
      </c>
      <c r="C1159" s="218" t="inlineStr">
        <is>
          <t>XUV 7XO</t>
        </is>
      </c>
      <c r="D1159" s="219" t="inlineStr">
        <is>
          <t>XUV 7XO AX7</t>
        </is>
      </c>
      <c r="E1159" s="220" t="inlineStr">
        <is>
          <t>Galaxy Grey</t>
        </is>
      </c>
    </row>
    <row r="1160" ht="15" customHeight="1">
      <c r="A1160" s="216" t="n">
        <v>1156</v>
      </c>
      <c r="B1160" s="217" t="inlineStr">
        <is>
          <t>Mahindra</t>
        </is>
      </c>
      <c r="C1160" s="218" t="inlineStr">
        <is>
          <t>XUV 7XO</t>
        </is>
      </c>
      <c r="D1160" s="219" t="inlineStr">
        <is>
          <t>XUV 7XO AX7</t>
        </is>
      </c>
      <c r="E1160" s="220" t="inlineStr">
        <is>
          <t>Nebula Blue</t>
        </is>
      </c>
    </row>
    <row r="1161" ht="15" customHeight="1">
      <c r="A1161" s="216" t="n">
        <v>1157</v>
      </c>
      <c r="B1161" s="217" t="inlineStr">
        <is>
          <t>Mahindra</t>
        </is>
      </c>
      <c r="C1161" s="218" t="inlineStr">
        <is>
          <t>XUV 7XO</t>
        </is>
      </c>
      <c r="D1161" s="219" t="inlineStr">
        <is>
          <t>XUV 7XO AX7</t>
        </is>
      </c>
      <c r="E1161" s="220" t="inlineStr">
        <is>
          <t>Ruby Velvet</t>
        </is>
      </c>
    </row>
    <row r="1162" ht="15" customHeight="1">
      <c r="A1162" s="216" t="n">
        <v>1158</v>
      </c>
      <c r="B1162" s="217" t="inlineStr">
        <is>
          <t>Mahindra</t>
        </is>
      </c>
      <c r="C1162" s="218" t="inlineStr">
        <is>
          <t>XUV 7XO</t>
        </is>
      </c>
      <c r="D1162" s="219" t="inlineStr">
        <is>
          <t>XUV 7XO AX7</t>
        </is>
      </c>
      <c r="E1162" s="220" t="inlineStr">
        <is>
          <t>Stealth Black</t>
        </is>
      </c>
    </row>
    <row r="1163" ht="15" customHeight="1">
      <c r="A1163" s="216" t="n">
        <v>1159</v>
      </c>
      <c r="B1163" s="217" t="inlineStr">
        <is>
          <t>Mahindra</t>
        </is>
      </c>
      <c r="C1163" s="218" t="inlineStr">
        <is>
          <t>XUV 7XO</t>
        </is>
      </c>
      <c r="D1163" s="219" t="inlineStr">
        <is>
          <t>XUV 7XO AX7 L</t>
        </is>
      </c>
      <c r="E1163" s="220" t="inlineStr">
        <is>
          <t>Desert Myst</t>
        </is>
      </c>
    </row>
    <row r="1164" ht="15" customHeight="1">
      <c r="A1164" s="216" t="n">
        <v>1160</v>
      </c>
      <c r="B1164" s="217" t="inlineStr">
        <is>
          <t>Mahindra</t>
        </is>
      </c>
      <c r="C1164" s="218" t="inlineStr">
        <is>
          <t>XUV 7XO</t>
        </is>
      </c>
      <c r="D1164" s="219" t="inlineStr">
        <is>
          <t>XUV 7XO AX7 L</t>
        </is>
      </c>
      <c r="E1164" s="220" t="inlineStr">
        <is>
          <t>Everest White</t>
        </is>
      </c>
    </row>
    <row r="1165" ht="15" customHeight="1">
      <c r="A1165" s="216" t="n">
        <v>1161</v>
      </c>
      <c r="B1165" s="217" t="inlineStr">
        <is>
          <t>Mahindra</t>
        </is>
      </c>
      <c r="C1165" s="218" t="inlineStr">
        <is>
          <t>XUV 7XO</t>
        </is>
      </c>
      <c r="D1165" s="219" t="inlineStr">
        <is>
          <t>XUV 7XO AX7 L</t>
        </is>
      </c>
      <c r="E1165" s="220" t="inlineStr">
        <is>
          <t>Galaxy Grey</t>
        </is>
      </c>
    </row>
    <row r="1166" ht="15" customHeight="1">
      <c r="A1166" s="216" t="n">
        <v>1162</v>
      </c>
      <c r="B1166" s="217" t="inlineStr">
        <is>
          <t>Mahindra</t>
        </is>
      </c>
      <c r="C1166" s="218" t="inlineStr">
        <is>
          <t>XUV 7XO</t>
        </is>
      </c>
      <c r="D1166" s="219" t="inlineStr">
        <is>
          <t>XUV 7XO AX7 L</t>
        </is>
      </c>
      <c r="E1166" s="220" t="inlineStr">
        <is>
          <t>Midnight Black</t>
        </is>
      </c>
    </row>
    <row r="1167" ht="15" customHeight="1">
      <c r="A1167" s="216" t="n">
        <v>1163</v>
      </c>
      <c r="B1167" s="217" t="inlineStr">
        <is>
          <t>Mahindra</t>
        </is>
      </c>
      <c r="C1167" s="218" t="inlineStr">
        <is>
          <t>XUV 7XO</t>
        </is>
      </c>
      <c r="D1167" s="219" t="inlineStr">
        <is>
          <t>XUV 7XO AX7 L</t>
        </is>
      </c>
      <c r="E1167" s="220" t="inlineStr">
        <is>
          <t>Nebula Blue</t>
        </is>
      </c>
    </row>
    <row r="1168" ht="15" customHeight="1">
      <c r="A1168" s="216" t="n">
        <v>1164</v>
      </c>
      <c r="B1168" s="217" t="inlineStr">
        <is>
          <t>Mahindra</t>
        </is>
      </c>
      <c r="C1168" s="218" t="inlineStr">
        <is>
          <t>XUV 7XO</t>
        </is>
      </c>
      <c r="D1168" s="219" t="inlineStr">
        <is>
          <t>XUV 7XO AX7 L</t>
        </is>
      </c>
      <c r="E1168" s="220" t="inlineStr">
        <is>
          <t>Ruby Velvet</t>
        </is>
      </c>
    </row>
    <row r="1169" ht="15" customHeight="1">
      <c r="A1169" s="216" t="n">
        <v>1165</v>
      </c>
      <c r="B1169" s="217" t="inlineStr">
        <is>
          <t>Mahindra</t>
        </is>
      </c>
      <c r="C1169" s="218" t="inlineStr">
        <is>
          <t>XUV 7XO</t>
        </is>
      </c>
      <c r="D1169" s="219" t="inlineStr">
        <is>
          <t>XUV 7XO AX7 L</t>
        </is>
      </c>
      <c r="E1169" s="220" t="inlineStr">
        <is>
          <t>Stealth Black</t>
        </is>
      </c>
    </row>
    <row r="1170" ht="15" customHeight="1">
      <c r="A1170" s="216" t="n">
        <v>1166</v>
      </c>
      <c r="B1170" s="217" t="inlineStr">
        <is>
          <t>Mahindra</t>
        </is>
      </c>
      <c r="C1170" s="218" t="inlineStr">
        <is>
          <t>XUV 7XO</t>
        </is>
      </c>
      <c r="D1170" s="219" t="inlineStr">
        <is>
          <t>XUV 7XO AX7 T</t>
        </is>
      </c>
      <c r="E1170" s="220" t="inlineStr">
        <is>
          <t>Desert Myst</t>
        </is>
      </c>
    </row>
    <row r="1171" ht="15" customHeight="1">
      <c r="A1171" s="216" t="n">
        <v>1167</v>
      </c>
      <c r="B1171" s="217" t="inlineStr">
        <is>
          <t>Mahindra</t>
        </is>
      </c>
      <c r="C1171" s="218" t="inlineStr">
        <is>
          <t>XUV 7XO</t>
        </is>
      </c>
      <c r="D1171" s="219" t="inlineStr">
        <is>
          <t>XUV 7XO AX7 T</t>
        </is>
      </c>
      <c r="E1171" s="220" t="inlineStr">
        <is>
          <t>Everest White</t>
        </is>
      </c>
    </row>
    <row r="1172" ht="15" customHeight="1">
      <c r="A1172" s="216" t="n">
        <v>1168</v>
      </c>
      <c r="B1172" s="217" t="inlineStr">
        <is>
          <t>Mahindra</t>
        </is>
      </c>
      <c r="C1172" s="218" t="inlineStr">
        <is>
          <t>XUV 7XO</t>
        </is>
      </c>
      <c r="D1172" s="219" t="inlineStr">
        <is>
          <t>XUV 7XO AX7 T</t>
        </is>
      </c>
      <c r="E1172" s="220" t="inlineStr">
        <is>
          <t>Galaxy Grey</t>
        </is>
      </c>
    </row>
    <row r="1173" ht="15" customHeight="1">
      <c r="A1173" s="216" t="n">
        <v>1169</v>
      </c>
      <c r="B1173" s="217" t="inlineStr">
        <is>
          <t>Mahindra</t>
        </is>
      </c>
      <c r="C1173" s="218" t="inlineStr">
        <is>
          <t>XUV 7XO</t>
        </is>
      </c>
      <c r="D1173" s="219" t="inlineStr">
        <is>
          <t>XUV 7XO AX7 T</t>
        </is>
      </c>
      <c r="E1173" s="220" t="inlineStr">
        <is>
          <t>Midnight Black</t>
        </is>
      </c>
    </row>
    <row r="1174" ht="15" customHeight="1">
      <c r="A1174" s="216" t="n">
        <v>1170</v>
      </c>
      <c r="B1174" s="217" t="inlineStr">
        <is>
          <t>Mahindra</t>
        </is>
      </c>
      <c r="C1174" s="218" t="inlineStr">
        <is>
          <t>XUV 7XO</t>
        </is>
      </c>
      <c r="D1174" s="219" t="inlineStr">
        <is>
          <t>XUV 7XO AX7 T</t>
        </is>
      </c>
      <c r="E1174" s="220" t="inlineStr">
        <is>
          <t>Nebula Blue</t>
        </is>
      </c>
    </row>
    <row r="1175" ht="15" customHeight="1">
      <c r="A1175" s="216" t="n">
        <v>1171</v>
      </c>
      <c r="B1175" s="217" t="inlineStr">
        <is>
          <t>Mahindra</t>
        </is>
      </c>
      <c r="C1175" s="218" t="inlineStr">
        <is>
          <t>XUV 7XO</t>
        </is>
      </c>
      <c r="D1175" s="219" t="inlineStr">
        <is>
          <t>XUV 7XO AX7 T</t>
        </is>
      </c>
      <c r="E1175" s="220" t="inlineStr">
        <is>
          <t>Ruby Velvet</t>
        </is>
      </c>
    </row>
    <row r="1176" ht="15" customHeight="1">
      <c r="A1176" s="216" t="n">
        <v>1172</v>
      </c>
      <c r="B1176" s="217" t="inlineStr">
        <is>
          <t>Mahindra</t>
        </is>
      </c>
      <c r="C1176" s="218" t="inlineStr">
        <is>
          <t>XUV 7XO</t>
        </is>
      </c>
      <c r="D1176" s="219" t="inlineStr">
        <is>
          <t>XUV 7XO AX7 T</t>
        </is>
      </c>
      <c r="E1176" s="220" t="inlineStr">
        <is>
          <t>Stealth Black</t>
        </is>
      </c>
    </row>
    <row r="1177" ht="15" customHeight="1">
      <c r="A1177" s="196" t="n">
        <v>1173</v>
      </c>
      <c r="B1177" s="197" t="inlineStr">
        <is>
          <t>Maruti Suzuki</t>
        </is>
      </c>
      <c r="C1177" s="198" t="inlineStr">
        <is>
          <t>Alto K10</t>
        </is>
      </c>
      <c r="D1177" s="199" t="inlineStr">
        <is>
          <t>Alto K10 LXi (O)</t>
        </is>
      </c>
      <c r="E1177" s="200" t="inlineStr">
        <is>
          <t>Metallic Granite Grey</t>
        </is>
      </c>
    </row>
    <row r="1178" ht="15" customHeight="1">
      <c r="A1178" s="196" t="n">
        <v>1174</v>
      </c>
      <c r="B1178" s="197" t="inlineStr">
        <is>
          <t>Maruti Suzuki</t>
        </is>
      </c>
      <c r="C1178" s="198" t="inlineStr">
        <is>
          <t>Alto K10</t>
        </is>
      </c>
      <c r="D1178" s="199" t="inlineStr">
        <is>
          <t>Alto K10 LXi (O)</t>
        </is>
      </c>
      <c r="E1178" s="200" t="inlineStr">
        <is>
          <t>Metallic Silky Silver</t>
        </is>
      </c>
    </row>
    <row r="1179" ht="15" customHeight="1">
      <c r="A1179" s="196" t="n">
        <v>1175</v>
      </c>
      <c r="B1179" s="197" t="inlineStr">
        <is>
          <t>Maruti Suzuki</t>
        </is>
      </c>
      <c r="C1179" s="198" t="inlineStr">
        <is>
          <t>Alto K10</t>
        </is>
      </c>
      <c r="D1179" s="199" t="inlineStr">
        <is>
          <t>Alto K10 LXi (O)</t>
        </is>
      </c>
      <c r="E1179" s="200" t="inlineStr">
        <is>
          <t>Metallic Sizzling Red</t>
        </is>
      </c>
    </row>
    <row r="1180" ht="15" customHeight="1">
      <c r="A1180" s="196" t="n">
        <v>1176</v>
      </c>
      <c r="B1180" s="197" t="inlineStr">
        <is>
          <t>Maruti Suzuki</t>
        </is>
      </c>
      <c r="C1180" s="198" t="inlineStr">
        <is>
          <t>Alto K10</t>
        </is>
      </c>
      <c r="D1180" s="199" t="inlineStr">
        <is>
          <t>Alto K10 LXi (O)</t>
        </is>
      </c>
      <c r="E1180" s="200" t="inlineStr">
        <is>
          <t>Metallic Speedy Blue</t>
        </is>
      </c>
    </row>
    <row r="1181" ht="15" customHeight="1">
      <c r="A1181" s="196" t="n">
        <v>1177</v>
      </c>
      <c r="B1181" s="197" t="inlineStr">
        <is>
          <t>Maruti Suzuki</t>
        </is>
      </c>
      <c r="C1181" s="198" t="inlineStr">
        <is>
          <t>Alto K10</t>
        </is>
      </c>
      <c r="D1181" s="199" t="inlineStr">
        <is>
          <t>Alto K10 LXi (O)</t>
        </is>
      </c>
      <c r="E1181" s="200" t="inlineStr">
        <is>
          <t>Premium Earth Gold</t>
        </is>
      </c>
    </row>
    <row r="1182" ht="15" customHeight="1">
      <c r="A1182" s="196" t="n">
        <v>1178</v>
      </c>
      <c r="B1182" s="197" t="inlineStr">
        <is>
          <t>Maruti Suzuki</t>
        </is>
      </c>
      <c r="C1182" s="198" t="inlineStr">
        <is>
          <t>Alto K10</t>
        </is>
      </c>
      <c r="D1182" s="199" t="inlineStr">
        <is>
          <t>Alto K10 LXi (O)</t>
        </is>
      </c>
      <c r="E1182" s="200" t="inlineStr">
        <is>
          <t>Solid White</t>
        </is>
      </c>
    </row>
    <row r="1183" ht="15" customHeight="1">
      <c r="A1183" s="196" t="n">
        <v>1179</v>
      </c>
      <c r="B1183" s="197" t="inlineStr">
        <is>
          <t>Maruti Suzuki</t>
        </is>
      </c>
      <c r="C1183" s="198" t="inlineStr">
        <is>
          <t>Alto K10</t>
        </is>
      </c>
      <c r="D1183" s="199" t="inlineStr">
        <is>
          <t>Alto K10 STD (O)</t>
        </is>
      </c>
      <c r="E1183" s="200" t="inlineStr">
        <is>
          <t>Metallic Granite Grey</t>
        </is>
      </c>
    </row>
    <row r="1184" ht="15" customHeight="1">
      <c r="A1184" s="196" t="n">
        <v>1180</v>
      </c>
      <c r="B1184" s="197" t="inlineStr">
        <is>
          <t>Maruti Suzuki</t>
        </is>
      </c>
      <c r="C1184" s="198" t="inlineStr">
        <is>
          <t>Alto K10</t>
        </is>
      </c>
      <c r="D1184" s="199" t="inlineStr">
        <is>
          <t>Alto K10 STD (O)</t>
        </is>
      </c>
      <c r="E1184" s="200" t="inlineStr">
        <is>
          <t>Metallic Silky Silver</t>
        </is>
      </c>
    </row>
    <row r="1185" ht="15" customHeight="1">
      <c r="A1185" s="196" t="n">
        <v>1181</v>
      </c>
      <c r="B1185" s="197" t="inlineStr">
        <is>
          <t>Maruti Suzuki</t>
        </is>
      </c>
      <c r="C1185" s="198" t="inlineStr">
        <is>
          <t>Alto K10</t>
        </is>
      </c>
      <c r="D1185" s="199" t="inlineStr">
        <is>
          <t>Alto K10 STD (O)</t>
        </is>
      </c>
      <c r="E1185" s="200" t="inlineStr">
        <is>
          <t>Metallic Sizzling Red</t>
        </is>
      </c>
    </row>
    <row r="1186" ht="15" customHeight="1">
      <c r="A1186" s="196" t="n">
        <v>1182</v>
      </c>
      <c r="B1186" s="197" t="inlineStr">
        <is>
          <t>Maruti Suzuki</t>
        </is>
      </c>
      <c r="C1186" s="198" t="inlineStr">
        <is>
          <t>Alto K10</t>
        </is>
      </c>
      <c r="D1186" s="199" t="inlineStr">
        <is>
          <t>Alto K10 STD (O)</t>
        </is>
      </c>
      <c r="E1186" s="200" t="inlineStr">
        <is>
          <t>Metallic Speedy Blue</t>
        </is>
      </c>
    </row>
    <row r="1187" ht="15" customHeight="1">
      <c r="A1187" s="196" t="n">
        <v>1183</v>
      </c>
      <c r="B1187" s="197" t="inlineStr">
        <is>
          <t>Maruti Suzuki</t>
        </is>
      </c>
      <c r="C1187" s="198" t="inlineStr">
        <is>
          <t>Alto K10</t>
        </is>
      </c>
      <c r="D1187" s="199" t="inlineStr">
        <is>
          <t>Alto K10 STD (O)</t>
        </is>
      </c>
      <c r="E1187" s="200" t="inlineStr">
        <is>
          <t>Premium Earth Gold</t>
        </is>
      </c>
    </row>
    <row r="1188" ht="15" customHeight="1">
      <c r="A1188" s="196" t="n">
        <v>1184</v>
      </c>
      <c r="B1188" s="197" t="inlineStr">
        <is>
          <t>Maruti Suzuki</t>
        </is>
      </c>
      <c r="C1188" s="198" t="inlineStr">
        <is>
          <t>Alto K10</t>
        </is>
      </c>
      <c r="D1188" s="199" t="inlineStr">
        <is>
          <t>Alto K10 STD (O)</t>
        </is>
      </c>
      <c r="E1188" s="200" t="inlineStr">
        <is>
          <t>Solid White</t>
        </is>
      </c>
    </row>
    <row r="1189" ht="15" customHeight="1">
      <c r="A1189" s="196" t="n">
        <v>1185</v>
      </c>
      <c r="B1189" s="197" t="inlineStr">
        <is>
          <t>Maruti Suzuki</t>
        </is>
      </c>
      <c r="C1189" s="198" t="inlineStr">
        <is>
          <t>Alto K10</t>
        </is>
      </c>
      <c r="D1189" s="199" t="inlineStr">
        <is>
          <t>Alto K10 VXi (O)</t>
        </is>
      </c>
      <c r="E1189" s="200" t="inlineStr">
        <is>
          <t>Bluish Black</t>
        </is>
      </c>
    </row>
    <row r="1190" ht="15" customHeight="1">
      <c r="A1190" s="196" t="n">
        <v>1186</v>
      </c>
      <c r="B1190" s="197" t="inlineStr">
        <is>
          <t>Maruti Suzuki</t>
        </is>
      </c>
      <c r="C1190" s="198" t="inlineStr">
        <is>
          <t>Alto K10</t>
        </is>
      </c>
      <c r="D1190" s="199" t="inlineStr">
        <is>
          <t>Alto K10 VXi (O)</t>
        </is>
      </c>
      <c r="E1190" s="200" t="inlineStr">
        <is>
          <t>Metallic Granite Grey</t>
        </is>
      </c>
    </row>
    <row r="1191" ht="15" customHeight="1">
      <c r="A1191" s="196" t="n">
        <v>1187</v>
      </c>
      <c r="B1191" s="197" t="inlineStr">
        <is>
          <t>Maruti Suzuki</t>
        </is>
      </c>
      <c r="C1191" s="198" t="inlineStr">
        <is>
          <t>Alto K10</t>
        </is>
      </c>
      <c r="D1191" s="199" t="inlineStr">
        <is>
          <t>Alto K10 VXi (O)</t>
        </is>
      </c>
      <c r="E1191" s="200" t="inlineStr">
        <is>
          <t>Metallic Silky Silver</t>
        </is>
      </c>
    </row>
    <row r="1192" ht="15" customHeight="1">
      <c r="A1192" s="196" t="n">
        <v>1188</v>
      </c>
      <c r="B1192" s="197" t="inlineStr">
        <is>
          <t>Maruti Suzuki</t>
        </is>
      </c>
      <c r="C1192" s="198" t="inlineStr">
        <is>
          <t>Alto K10</t>
        </is>
      </c>
      <c r="D1192" s="199" t="inlineStr">
        <is>
          <t>Alto K10 VXi (O)</t>
        </is>
      </c>
      <c r="E1192" s="200" t="inlineStr">
        <is>
          <t>Metallic Sizzling Red</t>
        </is>
      </c>
    </row>
    <row r="1193" ht="15" customHeight="1">
      <c r="A1193" s="196" t="n">
        <v>1189</v>
      </c>
      <c r="B1193" s="197" t="inlineStr">
        <is>
          <t>Maruti Suzuki</t>
        </is>
      </c>
      <c r="C1193" s="198" t="inlineStr">
        <is>
          <t>Alto K10</t>
        </is>
      </c>
      <c r="D1193" s="199" t="inlineStr">
        <is>
          <t>Alto K10 VXi (O)</t>
        </is>
      </c>
      <c r="E1193" s="200" t="inlineStr">
        <is>
          <t>Metallic Speedy Blue</t>
        </is>
      </c>
    </row>
    <row r="1194" ht="15" customHeight="1">
      <c r="A1194" s="196" t="n">
        <v>1190</v>
      </c>
      <c r="B1194" s="197" t="inlineStr">
        <is>
          <t>Maruti Suzuki</t>
        </is>
      </c>
      <c r="C1194" s="198" t="inlineStr">
        <is>
          <t>Alto K10</t>
        </is>
      </c>
      <c r="D1194" s="199" t="inlineStr">
        <is>
          <t>Alto K10 VXi (O)</t>
        </is>
      </c>
      <c r="E1194" s="200" t="inlineStr">
        <is>
          <t>Premium Earth Gold</t>
        </is>
      </c>
    </row>
    <row r="1195" ht="15" customHeight="1">
      <c r="A1195" s="196" t="n">
        <v>1191</v>
      </c>
      <c r="B1195" s="197" t="inlineStr">
        <is>
          <t>Maruti Suzuki</t>
        </is>
      </c>
      <c r="C1195" s="198" t="inlineStr">
        <is>
          <t>Alto K10</t>
        </is>
      </c>
      <c r="D1195" s="199" t="inlineStr">
        <is>
          <t>Alto K10 VXi (O)</t>
        </is>
      </c>
      <c r="E1195" s="200" t="inlineStr">
        <is>
          <t>Solid White</t>
        </is>
      </c>
    </row>
    <row r="1196" ht="15" customHeight="1">
      <c r="A1196" s="196" t="n">
        <v>1192</v>
      </c>
      <c r="B1196" s="197" t="inlineStr">
        <is>
          <t>Maruti Suzuki</t>
        </is>
      </c>
      <c r="C1196" s="198" t="inlineStr">
        <is>
          <t>Alto K10</t>
        </is>
      </c>
      <c r="D1196" s="199" t="inlineStr">
        <is>
          <t>Alto K10 VXi Plus (O)</t>
        </is>
      </c>
      <c r="E1196" s="200" t="inlineStr">
        <is>
          <t>Bluish Black</t>
        </is>
      </c>
    </row>
    <row r="1197" ht="15" customHeight="1">
      <c r="A1197" s="196" t="n">
        <v>1193</v>
      </c>
      <c r="B1197" s="197" t="inlineStr">
        <is>
          <t>Maruti Suzuki</t>
        </is>
      </c>
      <c r="C1197" s="198" t="inlineStr">
        <is>
          <t>Alto K10</t>
        </is>
      </c>
      <c r="D1197" s="199" t="inlineStr">
        <is>
          <t>Alto K10 VXi Plus (O)</t>
        </is>
      </c>
      <c r="E1197" s="200" t="inlineStr">
        <is>
          <t>Metallic Granite Grey</t>
        </is>
      </c>
    </row>
    <row r="1198" ht="15" customHeight="1">
      <c r="A1198" s="196" t="n">
        <v>1194</v>
      </c>
      <c r="B1198" s="197" t="inlineStr">
        <is>
          <t>Maruti Suzuki</t>
        </is>
      </c>
      <c r="C1198" s="198" t="inlineStr">
        <is>
          <t>Alto K10</t>
        </is>
      </c>
      <c r="D1198" s="199" t="inlineStr">
        <is>
          <t>Alto K10 VXi Plus (O)</t>
        </is>
      </c>
      <c r="E1198" s="200" t="inlineStr">
        <is>
          <t>Metallic Silky Silver</t>
        </is>
      </c>
    </row>
    <row r="1199" ht="15" customHeight="1">
      <c r="A1199" s="196" t="n">
        <v>1195</v>
      </c>
      <c r="B1199" s="197" t="inlineStr">
        <is>
          <t>Maruti Suzuki</t>
        </is>
      </c>
      <c r="C1199" s="198" t="inlineStr">
        <is>
          <t>Alto K10</t>
        </is>
      </c>
      <c r="D1199" s="199" t="inlineStr">
        <is>
          <t>Alto K10 VXi Plus (O)</t>
        </is>
      </c>
      <c r="E1199" s="200" t="inlineStr">
        <is>
          <t>Metallic Sizzling Red</t>
        </is>
      </c>
    </row>
    <row r="1200" ht="15" customHeight="1">
      <c r="A1200" s="196" t="n">
        <v>1196</v>
      </c>
      <c r="B1200" s="197" t="inlineStr">
        <is>
          <t>Maruti Suzuki</t>
        </is>
      </c>
      <c r="C1200" s="198" t="inlineStr">
        <is>
          <t>Alto K10</t>
        </is>
      </c>
      <c r="D1200" s="199" t="inlineStr">
        <is>
          <t>Alto K10 VXi Plus (O)</t>
        </is>
      </c>
      <c r="E1200" s="200" t="inlineStr">
        <is>
          <t>Metallic Speedy Blue</t>
        </is>
      </c>
    </row>
    <row r="1201" ht="15" customHeight="1">
      <c r="A1201" s="196" t="n">
        <v>1197</v>
      </c>
      <c r="B1201" s="197" t="inlineStr">
        <is>
          <t>Maruti Suzuki</t>
        </is>
      </c>
      <c r="C1201" s="198" t="inlineStr">
        <is>
          <t>Alto K10</t>
        </is>
      </c>
      <c r="D1201" s="199" t="inlineStr">
        <is>
          <t>Alto K10 VXi Plus (O)</t>
        </is>
      </c>
      <c r="E1201" s="200" t="inlineStr">
        <is>
          <t>Premium Earth Gold</t>
        </is>
      </c>
    </row>
    <row r="1202" ht="15" customHeight="1">
      <c r="A1202" s="196" t="n">
        <v>1198</v>
      </c>
      <c r="B1202" s="197" t="inlineStr">
        <is>
          <t>Maruti Suzuki</t>
        </is>
      </c>
      <c r="C1202" s="198" t="inlineStr">
        <is>
          <t>Alto K10</t>
        </is>
      </c>
      <c r="D1202" s="199" t="inlineStr">
        <is>
          <t>Alto K10 VXi Plus (O)</t>
        </is>
      </c>
      <c r="E1202" s="200" t="inlineStr">
        <is>
          <t>Solid White</t>
        </is>
      </c>
    </row>
    <row r="1203" ht="15" customHeight="1">
      <c r="A1203" s="196" t="n">
        <v>1199</v>
      </c>
      <c r="B1203" s="197" t="inlineStr">
        <is>
          <t>Maruti Suzuki</t>
        </is>
      </c>
      <c r="C1203" s="198" t="inlineStr">
        <is>
          <t>Baleno</t>
        </is>
      </c>
      <c r="D1203" s="199" t="inlineStr">
        <is>
          <t>Baleno Alpha</t>
        </is>
      </c>
      <c r="E1203" s="200" t="inlineStr">
        <is>
          <t>Arctic White</t>
        </is>
      </c>
    </row>
    <row r="1204" ht="15" customHeight="1">
      <c r="A1204" s="196" t="n">
        <v>1200</v>
      </c>
      <c r="B1204" s="197" t="inlineStr">
        <is>
          <t>Maruti Suzuki</t>
        </is>
      </c>
      <c r="C1204" s="198" t="inlineStr">
        <is>
          <t>Baleno</t>
        </is>
      </c>
      <c r="D1204" s="199" t="inlineStr">
        <is>
          <t>Baleno Alpha</t>
        </is>
      </c>
      <c r="E1204" s="200" t="inlineStr">
        <is>
          <t>Bluish Black</t>
        </is>
      </c>
    </row>
    <row r="1205" ht="15" customHeight="1">
      <c r="A1205" s="196" t="n">
        <v>1201</v>
      </c>
      <c r="B1205" s="197" t="inlineStr">
        <is>
          <t>Maruti Suzuki</t>
        </is>
      </c>
      <c r="C1205" s="198" t="inlineStr">
        <is>
          <t>Baleno</t>
        </is>
      </c>
      <c r="D1205" s="199" t="inlineStr">
        <is>
          <t>Baleno Alpha</t>
        </is>
      </c>
      <c r="E1205" s="200" t="inlineStr">
        <is>
          <t>Grandeur Grey</t>
        </is>
      </c>
    </row>
    <row r="1206" ht="15" customHeight="1">
      <c r="A1206" s="196" t="n">
        <v>1202</v>
      </c>
      <c r="B1206" s="197" t="inlineStr">
        <is>
          <t>Maruti Suzuki</t>
        </is>
      </c>
      <c r="C1206" s="198" t="inlineStr">
        <is>
          <t>Baleno</t>
        </is>
      </c>
      <c r="D1206" s="199" t="inlineStr">
        <is>
          <t>Baleno Alpha</t>
        </is>
      </c>
      <c r="E1206" s="200" t="inlineStr">
        <is>
          <t>Luxe Beige</t>
        </is>
      </c>
    </row>
    <row r="1207" ht="15" customHeight="1">
      <c r="A1207" s="196" t="n">
        <v>1203</v>
      </c>
      <c r="B1207" s="197" t="inlineStr">
        <is>
          <t>Maruti Suzuki</t>
        </is>
      </c>
      <c r="C1207" s="198" t="inlineStr">
        <is>
          <t>Baleno</t>
        </is>
      </c>
      <c r="D1207" s="199" t="inlineStr">
        <is>
          <t>Baleno Alpha</t>
        </is>
      </c>
      <c r="E1207" s="200" t="inlineStr">
        <is>
          <t>Nexa Blue</t>
        </is>
      </c>
    </row>
    <row r="1208" ht="15" customHeight="1">
      <c r="A1208" s="196" t="n">
        <v>1204</v>
      </c>
      <c r="B1208" s="197" t="inlineStr">
        <is>
          <t>Maruti Suzuki</t>
        </is>
      </c>
      <c r="C1208" s="198" t="inlineStr">
        <is>
          <t>Baleno</t>
        </is>
      </c>
      <c r="D1208" s="199" t="inlineStr">
        <is>
          <t>Baleno Alpha</t>
        </is>
      </c>
      <c r="E1208" s="200" t="inlineStr">
        <is>
          <t>Opulent Red</t>
        </is>
      </c>
    </row>
    <row r="1209" ht="15" customHeight="1">
      <c r="A1209" s="196" t="n">
        <v>1205</v>
      </c>
      <c r="B1209" s="197" t="inlineStr">
        <is>
          <t>Maruti Suzuki</t>
        </is>
      </c>
      <c r="C1209" s="198" t="inlineStr">
        <is>
          <t>Baleno</t>
        </is>
      </c>
      <c r="D1209" s="199" t="inlineStr">
        <is>
          <t>Baleno Alpha</t>
        </is>
      </c>
      <c r="E1209" s="200" t="inlineStr">
        <is>
          <t>Splendid Silver</t>
        </is>
      </c>
    </row>
    <row r="1210" ht="15" customHeight="1">
      <c r="A1210" s="196" t="n">
        <v>1206</v>
      </c>
      <c r="B1210" s="197" t="inlineStr">
        <is>
          <t>Maruti Suzuki</t>
        </is>
      </c>
      <c r="C1210" s="198" t="inlineStr">
        <is>
          <t>Baleno</t>
        </is>
      </c>
      <c r="D1210" s="199" t="inlineStr">
        <is>
          <t>Baleno Delta</t>
        </is>
      </c>
      <c r="E1210" s="200" t="inlineStr">
        <is>
          <t>Arctic White</t>
        </is>
      </c>
    </row>
    <row r="1211" ht="15" customHeight="1">
      <c r="A1211" s="196" t="n">
        <v>1207</v>
      </c>
      <c r="B1211" s="197" t="inlineStr">
        <is>
          <t>Maruti Suzuki</t>
        </is>
      </c>
      <c r="C1211" s="198" t="inlineStr">
        <is>
          <t>Baleno</t>
        </is>
      </c>
      <c r="D1211" s="199" t="inlineStr">
        <is>
          <t>Baleno Delta</t>
        </is>
      </c>
      <c r="E1211" s="200" t="inlineStr">
        <is>
          <t>Grandeur Grey</t>
        </is>
      </c>
    </row>
    <row r="1212" ht="15" customHeight="1">
      <c r="A1212" s="196" t="n">
        <v>1208</v>
      </c>
      <c r="B1212" s="197" t="inlineStr">
        <is>
          <t>Maruti Suzuki</t>
        </is>
      </c>
      <c r="C1212" s="198" t="inlineStr">
        <is>
          <t>Baleno</t>
        </is>
      </c>
      <c r="D1212" s="199" t="inlineStr">
        <is>
          <t>Baleno Delta</t>
        </is>
      </c>
      <c r="E1212" s="200" t="inlineStr">
        <is>
          <t>Luxe Beige</t>
        </is>
      </c>
    </row>
    <row r="1213" ht="15" customHeight="1">
      <c r="A1213" s="196" t="n">
        <v>1209</v>
      </c>
      <c r="B1213" s="197" t="inlineStr">
        <is>
          <t>Maruti Suzuki</t>
        </is>
      </c>
      <c r="C1213" s="198" t="inlineStr">
        <is>
          <t>Baleno</t>
        </is>
      </c>
      <c r="D1213" s="199" t="inlineStr">
        <is>
          <t>Baleno Delta</t>
        </is>
      </c>
      <c r="E1213" s="200" t="inlineStr">
        <is>
          <t>Nexa Blue</t>
        </is>
      </c>
    </row>
    <row r="1214" ht="15" customHeight="1">
      <c r="A1214" s="196" t="n">
        <v>1210</v>
      </c>
      <c r="B1214" s="197" t="inlineStr">
        <is>
          <t>Maruti Suzuki</t>
        </is>
      </c>
      <c r="C1214" s="198" t="inlineStr">
        <is>
          <t>Baleno</t>
        </is>
      </c>
      <c r="D1214" s="199" t="inlineStr">
        <is>
          <t>Baleno Delta</t>
        </is>
      </c>
      <c r="E1214" s="200" t="inlineStr">
        <is>
          <t>Opulent Red</t>
        </is>
      </c>
    </row>
    <row r="1215" ht="15" customHeight="1">
      <c r="A1215" s="196" t="n">
        <v>1211</v>
      </c>
      <c r="B1215" s="197" t="inlineStr">
        <is>
          <t>Maruti Suzuki</t>
        </is>
      </c>
      <c r="C1215" s="198" t="inlineStr">
        <is>
          <t>Baleno</t>
        </is>
      </c>
      <c r="D1215" s="199" t="inlineStr">
        <is>
          <t>Baleno Delta</t>
        </is>
      </c>
      <c r="E1215" s="200" t="inlineStr">
        <is>
          <t>Splendid Silver</t>
        </is>
      </c>
    </row>
    <row r="1216" ht="15" customHeight="1">
      <c r="A1216" s="196" t="n">
        <v>1212</v>
      </c>
      <c r="B1216" s="197" t="inlineStr">
        <is>
          <t>Maruti Suzuki</t>
        </is>
      </c>
      <c r="C1216" s="198" t="inlineStr">
        <is>
          <t>Baleno</t>
        </is>
      </c>
      <c r="D1216" s="199" t="inlineStr">
        <is>
          <t>Baleno Sigma</t>
        </is>
      </c>
      <c r="E1216" s="200" t="inlineStr">
        <is>
          <t>Arctic White</t>
        </is>
      </c>
    </row>
    <row r="1217" ht="15" customHeight="1">
      <c r="A1217" s="196" t="n">
        <v>1213</v>
      </c>
      <c r="B1217" s="197" t="inlineStr">
        <is>
          <t>Maruti Suzuki</t>
        </is>
      </c>
      <c r="C1217" s="198" t="inlineStr">
        <is>
          <t>Baleno</t>
        </is>
      </c>
      <c r="D1217" s="199" t="inlineStr">
        <is>
          <t>Baleno Sigma</t>
        </is>
      </c>
      <c r="E1217" s="200" t="inlineStr">
        <is>
          <t>Grandeur Grey</t>
        </is>
      </c>
    </row>
    <row r="1218" ht="15" customHeight="1">
      <c r="A1218" s="196" t="n">
        <v>1214</v>
      </c>
      <c r="B1218" s="197" t="inlineStr">
        <is>
          <t>Maruti Suzuki</t>
        </is>
      </c>
      <c r="C1218" s="198" t="inlineStr">
        <is>
          <t>Baleno</t>
        </is>
      </c>
      <c r="D1218" s="199" t="inlineStr">
        <is>
          <t>Baleno Sigma</t>
        </is>
      </c>
      <c r="E1218" s="200" t="inlineStr">
        <is>
          <t>Luxe Beige</t>
        </is>
      </c>
    </row>
    <row r="1219" ht="15" customHeight="1">
      <c r="A1219" s="196" t="n">
        <v>1215</v>
      </c>
      <c r="B1219" s="197" t="inlineStr">
        <is>
          <t>Maruti Suzuki</t>
        </is>
      </c>
      <c r="C1219" s="198" t="inlineStr">
        <is>
          <t>Baleno</t>
        </is>
      </c>
      <c r="D1219" s="199" t="inlineStr">
        <is>
          <t>Baleno Sigma</t>
        </is>
      </c>
      <c r="E1219" s="200" t="inlineStr">
        <is>
          <t>Nexa Blue</t>
        </is>
      </c>
    </row>
    <row r="1220" ht="15" customHeight="1">
      <c r="A1220" s="196" t="n">
        <v>1216</v>
      </c>
      <c r="B1220" s="197" t="inlineStr">
        <is>
          <t>Maruti Suzuki</t>
        </is>
      </c>
      <c r="C1220" s="198" t="inlineStr">
        <is>
          <t>Baleno</t>
        </is>
      </c>
      <c r="D1220" s="199" t="inlineStr">
        <is>
          <t>Baleno Sigma</t>
        </is>
      </c>
      <c r="E1220" s="200" t="inlineStr">
        <is>
          <t>Opulent Red</t>
        </is>
      </c>
    </row>
    <row r="1221" ht="15" customHeight="1">
      <c r="A1221" s="196" t="n">
        <v>1217</v>
      </c>
      <c r="B1221" s="197" t="inlineStr">
        <is>
          <t>Maruti Suzuki</t>
        </is>
      </c>
      <c r="C1221" s="198" t="inlineStr">
        <is>
          <t>Baleno</t>
        </is>
      </c>
      <c r="D1221" s="199" t="inlineStr">
        <is>
          <t>Baleno Sigma</t>
        </is>
      </c>
      <c r="E1221" s="200" t="inlineStr">
        <is>
          <t>Splendid Silver</t>
        </is>
      </c>
    </row>
    <row r="1222" ht="15" customHeight="1">
      <c r="A1222" s="196" t="n">
        <v>1218</v>
      </c>
      <c r="B1222" s="197" t="inlineStr">
        <is>
          <t>Maruti Suzuki</t>
        </is>
      </c>
      <c r="C1222" s="198" t="inlineStr">
        <is>
          <t>Baleno</t>
        </is>
      </c>
      <c r="D1222" s="199" t="inlineStr">
        <is>
          <t>Baleno Zeta</t>
        </is>
      </c>
      <c r="E1222" s="200" t="inlineStr">
        <is>
          <t>Arctic White</t>
        </is>
      </c>
    </row>
    <row r="1223" ht="15" customHeight="1">
      <c r="A1223" s="196" t="n">
        <v>1219</v>
      </c>
      <c r="B1223" s="197" t="inlineStr">
        <is>
          <t>Maruti Suzuki</t>
        </is>
      </c>
      <c r="C1223" s="198" t="inlineStr">
        <is>
          <t>Baleno</t>
        </is>
      </c>
      <c r="D1223" s="199" t="inlineStr">
        <is>
          <t>Baleno Zeta</t>
        </is>
      </c>
      <c r="E1223" s="200" t="inlineStr">
        <is>
          <t>Bluish Black</t>
        </is>
      </c>
    </row>
    <row r="1224" ht="15" customHeight="1">
      <c r="A1224" s="196" t="n">
        <v>1220</v>
      </c>
      <c r="B1224" s="197" t="inlineStr">
        <is>
          <t>Maruti Suzuki</t>
        </is>
      </c>
      <c r="C1224" s="198" t="inlineStr">
        <is>
          <t>Baleno</t>
        </is>
      </c>
      <c r="D1224" s="199" t="inlineStr">
        <is>
          <t>Baleno Zeta</t>
        </is>
      </c>
      <c r="E1224" s="200" t="inlineStr">
        <is>
          <t>Grandeur Grey</t>
        </is>
      </c>
    </row>
    <row r="1225" ht="15" customHeight="1">
      <c r="A1225" s="196" t="n">
        <v>1221</v>
      </c>
      <c r="B1225" s="197" t="inlineStr">
        <is>
          <t>Maruti Suzuki</t>
        </is>
      </c>
      <c r="C1225" s="198" t="inlineStr">
        <is>
          <t>Baleno</t>
        </is>
      </c>
      <c r="D1225" s="199" t="inlineStr">
        <is>
          <t>Baleno Zeta</t>
        </is>
      </c>
      <c r="E1225" s="200" t="inlineStr">
        <is>
          <t>Luxe Beige</t>
        </is>
      </c>
    </row>
    <row r="1226" ht="15" customHeight="1">
      <c r="A1226" s="196" t="n">
        <v>1222</v>
      </c>
      <c r="B1226" s="197" t="inlineStr">
        <is>
          <t>Maruti Suzuki</t>
        </is>
      </c>
      <c r="C1226" s="198" t="inlineStr">
        <is>
          <t>Baleno</t>
        </is>
      </c>
      <c r="D1226" s="199" t="inlineStr">
        <is>
          <t>Baleno Zeta</t>
        </is>
      </c>
      <c r="E1226" s="200" t="inlineStr">
        <is>
          <t>Nexa Blue</t>
        </is>
      </c>
    </row>
    <row r="1227" ht="15" customHeight="1">
      <c r="A1227" s="196" t="n">
        <v>1223</v>
      </c>
      <c r="B1227" s="197" t="inlineStr">
        <is>
          <t>Maruti Suzuki</t>
        </is>
      </c>
      <c r="C1227" s="198" t="inlineStr">
        <is>
          <t>Baleno</t>
        </is>
      </c>
      <c r="D1227" s="199" t="inlineStr">
        <is>
          <t>Baleno Zeta</t>
        </is>
      </c>
      <c r="E1227" s="200" t="inlineStr">
        <is>
          <t>Opulent Red</t>
        </is>
      </c>
    </row>
    <row r="1228" ht="15" customHeight="1">
      <c r="A1228" s="196" t="n">
        <v>1224</v>
      </c>
      <c r="B1228" s="197" t="inlineStr">
        <is>
          <t>Maruti Suzuki</t>
        </is>
      </c>
      <c r="C1228" s="198" t="inlineStr">
        <is>
          <t>Baleno</t>
        </is>
      </c>
      <c r="D1228" s="199" t="inlineStr">
        <is>
          <t>Baleno Zeta</t>
        </is>
      </c>
      <c r="E1228" s="200" t="inlineStr">
        <is>
          <t>Splendid Silver</t>
        </is>
      </c>
    </row>
    <row r="1229" ht="15" customHeight="1">
      <c r="A1229" s="196" t="n">
        <v>1225</v>
      </c>
      <c r="B1229" s="197" t="inlineStr">
        <is>
          <t>Maruti Suzuki</t>
        </is>
      </c>
      <c r="C1229" s="198" t="inlineStr">
        <is>
          <t>Brezza</t>
        </is>
      </c>
      <c r="D1229" s="199" t="inlineStr">
        <is>
          <t>Brezza LXi</t>
        </is>
      </c>
      <c r="E1229" s="200" t="inlineStr">
        <is>
          <t>Exuberant blue</t>
        </is>
      </c>
    </row>
    <row r="1230" ht="15" customHeight="1">
      <c r="A1230" s="196" t="n">
        <v>1226</v>
      </c>
      <c r="B1230" s="197" t="inlineStr">
        <is>
          <t>Maruti Suzuki</t>
        </is>
      </c>
      <c r="C1230" s="198" t="inlineStr">
        <is>
          <t>Brezza</t>
        </is>
      </c>
      <c r="D1230" s="199" t="inlineStr">
        <is>
          <t>Brezza LXi</t>
        </is>
      </c>
      <c r="E1230" s="200" t="inlineStr">
        <is>
          <t>Magma Grey</t>
        </is>
      </c>
    </row>
    <row r="1231" ht="15" customHeight="1">
      <c r="A1231" s="196" t="n">
        <v>1227</v>
      </c>
      <c r="B1231" s="197" t="inlineStr">
        <is>
          <t>Maruti Suzuki</t>
        </is>
      </c>
      <c r="C1231" s="198" t="inlineStr">
        <is>
          <t>Brezza</t>
        </is>
      </c>
      <c r="D1231" s="199" t="inlineStr">
        <is>
          <t>Brezza LXi</t>
        </is>
      </c>
      <c r="E1231" s="200" t="inlineStr">
        <is>
          <t>Pearl Arctic White</t>
        </is>
      </c>
    </row>
    <row r="1232" ht="15" customHeight="1">
      <c r="A1232" s="196" t="n">
        <v>1228</v>
      </c>
      <c r="B1232" s="197" t="inlineStr">
        <is>
          <t>Maruti Suzuki</t>
        </is>
      </c>
      <c r="C1232" s="198" t="inlineStr">
        <is>
          <t>Brezza</t>
        </is>
      </c>
      <c r="D1232" s="199" t="inlineStr">
        <is>
          <t>Brezza LXi</t>
        </is>
      </c>
      <c r="E1232" s="200" t="inlineStr">
        <is>
          <t>Sizzling Red</t>
        </is>
      </c>
    </row>
    <row r="1233" ht="15" customHeight="1">
      <c r="A1233" s="196" t="n">
        <v>1229</v>
      </c>
      <c r="B1233" s="197" t="inlineStr">
        <is>
          <t>Maruti Suzuki</t>
        </is>
      </c>
      <c r="C1233" s="198" t="inlineStr">
        <is>
          <t>Brezza</t>
        </is>
      </c>
      <c r="D1233" s="199" t="inlineStr">
        <is>
          <t>Brezza LXi</t>
        </is>
      </c>
      <c r="E1233" s="200" t="inlineStr">
        <is>
          <t>Splendid Silver</t>
        </is>
      </c>
    </row>
    <row r="1234" ht="15" customHeight="1">
      <c r="A1234" s="196" t="n">
        <v>1230</v>
      </c>
      <c r="B1234" s="197" t="inlineStr">
        <is>
          <t>Maruti Suzuki</t>
        </is>
      </c>
      <c r="C1234" s="198" t="inlineStr">
        <is>
          <t>Brezza</t>
        </is>
      </c>
      <c r="D1234" s="199" t="inlineStr">
        <is>
          <t>Brezza VXi</t>
        </is>
      </c>
      <c r="E1234" s="200" t="inlineStr">
        <is>
          <t>Bluish Black</t>
        </is>
      </c>
    </row>
    <row r="1235" ht="15" customHeight="1">
      <c r="A1235" s="196" t="n">
        <v>1231</v>
      </c>
      <c r="B1235" s="197" t="inlineStr">
        <is>
          <t>Maruti Suzuki</t>
        </is>
      </c>
      <c r="C1235" s="198" t="inlineStr">
        <is>
          <t>Brezza</t>
        </is>
      </c>
      <c r="D1235" s="199" t="inlineStr">
        <is>
          <t>Brezza VXi</t>
        </is>
      </c>
      <c r="E1235" s="200" t="inlineStr">
        <is>
          <t>Brave Khaki</t>
        </is>
      </c>
    </row>
    <row r="1236" ht="15" customHeight="1">
      <c r="A1236" s="196" t="n">
        <v>1232</v>
      </c>
      <c r="B1236" s="197" t="inlineStr">
        <is>
          <t>Maruti Suzuki</t>
        </is>
      </c>
      <c r="C1236" s="198" t="inlineStr">
        <is>
          <t>Brezza</t>
        </is>
      </c>
      <c r="D1236" s="199" t="inlineStr">
        <is>
          <t>Brezza VXi</t>
        </is>
      </c>
      <c r="E1236" s="200" t="inlineStr">
        <is>
          <t>Exuberant blue</t>
        </is>
      </c>
    </row>
    <row r="1237" ht="15" customHeight="1">
      <c r="A1237" s="196" t="n">
        <v>1233</v>
      </c>
      <c r="B1237" s="197" t="inlineStr">
        <is>
          <t>Maruti Suzuki</t>
        </is>
      </c>
      <c r="C1237" s="198" t="inlineStr">
        <is>
          <t>Brezza</t>
        </is>
      </c>
      <c r="D1237" s="199" t="inlineStr">
        <is>
          <t>Brezza VXi</t>
        </is>
      </c>
      <c r="E1237" s="200" t="inlineStr">
        <is>
          <t>Magma Grey</t>
        </is>
      </c>
    </row>
    <row r="1238" ht="15" customHeight="1">
      <c r="A1238" s="196" t="n">
        <v>1234</v>
      </c>
      <c r="B1238" s="197" t="inlineStr">
        <is>
          <t>Maruti Suzuki</t>
        </is>
      </c>
      <c r="C1238" s="198" t="inlineStr">
        <is>
          <t>Brezza</t>
        </is>
      </c>
      <c r="D1238" s="199" t="inlineStr">
        <is>
          <t>Brezza VXi</t>
        </is>
      </c>
      <c r="E1238" s="200" t="inlineStr">
        <is>
          <t>Pearl Arctic White</t>
        </is>
      </c>
    </row>
    <row r="1239" ht="15" customHeight="1">
      <c r="A1239" s="196" t="n">
        <v>1235</v>
      </c>
      <c r="B1239" s="197" t="inlineStr">
        <is>
          <t>Maruti Suzuki</t>
        </is>
      </c>
      <c r="C1239" s="198" t="inlineStr">
        <is>
          <t>Brezza</t>
        </is>
      </c>
      <c r="D1239" s="199" t="inlineStr">
        <is>
          <t>Brezza VXi</t>
        </is>
      </c>
      <c r="E1239" s="200" t="inlineStr">
        <is>
          <t>Sizzling Red</t>
        </is>
      </c>
    </row>
    <row r="1240" ht="15" customHeight="1">
      <c r="A1240" s="196" t="n">
        <v>1236</v>
      </c>
      <c r="B1240" s="197" t="inlineStr">
        <is>
          <t>Maruti Suzuki</t>
        </is>
      </c>
      <c r="C1240" s="198" t="inlineStr">
        <is>
          <t>Brezza</t>
        </is>
      </c>
      <c r="D1240" s="199" t="inlineStr">
        <is>
          <t>Brezza VXi</t>
        </is>
      </c>
      <c r="E1240" s="200" t="inlineStr">
        <is>
          <t>Splendid Silver</t>
        </is>
      </c>
    </row>
    <row r="1241" ht="15" customHeight="1">
      <c r="A1241" s="196" t="n">
        <v>1237</v>
      </c>
      <c r="B1241" s="197" t="inlineStr">
        <is>
          <t>Maruti Suzuki</t>
        </is>
      </c>
      <c r="C1241" s="198" t="inlineStr">
        <is>
          <t>Brezza</t>
        </is>
      </c>
      <c r="D1241" s="199" t="inlineStr">
        <is>
          <t>Brezza ZXi</t>
        </is>
      </c>
      <c r="E1241" s="200" t="inlineStr">
        <is>
          <t>Bluish Black</t>
        </is>
      </c>
    </row>
    <row r="1242" ht="15" customHeight="1">
      <c r="A1242" s="196" t="n">
        <v>1238</v>
      </c>
      <c r="B1242" s="197" t="inlineStr">
        <is>
          <t>Maruti Suzuki</t>
        </is>
      </c>
      <c r="C1242" s="198" t="inlineStr">
        <is>
          <t>Brezza</t>
        </is>
      </c>
      <c r="D1242" s="199" t="inlineStr">
        <is>
          <t>Brezza ZXi</t>
        </is>
      </c>
      <c r="E1242" s="200" t="inlineStr">
        <is>
          <t>Exuberant blue</t>
        </is>
      </c>
    </row>
    <row r="1243" ht="15" customHeight="1">
      <c r="A1243" s="196" t="n">
        <v>1239</v>
      </c>
      <c r="B1243" s="197" t="inlineStr">
        <is>
          <t>Maruti Suzuki</t>
        </is>
      </c>
      <c r="C1243" s="198" t="inlineStr">
        <is>
          <t>Brezza</t>
        </is>
      </c>
      <c r="D1243" s="199" t="inlineStr">
        <is>
          <t>Brezza ZXi</t>
        </is>
      </c>
      <c r="E1243" s="200" t="inlineStr">
        <is>
          <t>Magma Grey</t>
        </is>
      </c>
    </row>
    <row r="1244" ht="15" customHeight="1">
      <c r="A1244" s="196" t="n">
        <v>1240</v>
      </c>
      <c r="B1244" s="197" t="inlineStr">
        <is>
          <t>Maruti Suzuki</t>
        </is>
      </c>
      <c r="C1244" s="198" t="inlineStr">
        <is>
          <t>Brezza</t>
        </is>
      </c>
      <c r="D1244" s="199" t="inlineStr">
        <is>
          <t>Brezza ZXi</t>
        </is>
      </c>
      <c r="E1244" s="200" t="inlineStr">
        <is>
          <t>Pearl Arctic White</t>
        </is>
      </c>
    </row>
    <row r="1245" ht="15" customHeight="1">
      <c r="A1245" s="196" t="n">
        <v>1241</v>
      </c>
      <c r="B1245" s="197" t="inlineStr">
        <is>
          <t>Maruti Suzuki</t>
        </is>
      </c>
      <c r="C1245" s="198" t="inlineStr">
        <is>
          <t>Brezza</t>
        </is>
      </c>
      <c r="D1245" s="199" t="inlineStr">
        <is>
          <t>Brezza ZXi</t>
        </is>
      </c>
      <c r="E1245" s="200" t="inlineStr">
        <is>
          <t>Splendid Silver</t>
        </is>
      </c>
    </row>
    <row r="1246" ht="15" customHeight="1">
      <c r="A1246" s="196" t="n">
        <v>1242</v>
      </c>
      <c r="B1246" s="197" t="inlineStr">
        <is>
          <t>Maruti Suzuki</t>
        </is>
      </c>
      <c r="C1246" s="198" t="inlineStr">
        <is>
          <t>Brezza</t>
        </is>
      </c>
      <c r="D1246" s="199" t="inlineStr">
        <is>
          <t>Brezza Zxi Plus</t>
        </is>
      </c>
      <c r="E1246" s="200" t="inlineStr">
        <is>
          <t>Bluish Black</t>
        </is>
      </c>
    </row>
    <row r="1247" ht="15" customHeight="1">
      <c r="A1247" s="196" t="n">
        <v>1243</v>
      </c>
      <c r="B1247" s="197" t="inlineStr">
        <is>
          <t>Maruti Suzuki</t>
        </is>
      </c>
      <c r="C1247" s="198" t="inlineStr">
        <is>
          <t>Brezza</t>
        </is>
      </c>
      <c r="D1247" s="199" t="inlineStr">
        <is>
          <t>Brezza Zxi Plus</t>
        </is>
      </c>
      <c r="E1247" s="200" t="inlineStr">
        <is>
          <t>Exuberant blue</t>
        </is>
      </c>
    </row>
    <row r="1248" ht="15" customHeight="1">
      <c r="A1248" s="196" t="n">
        <v>1244</v>
      </c>
      <c r="B1248" s="197" t="inlineStr">
        <is>
          <t>Maruti Suzuki</t>
        </is>
      </c>
      <c r="C1248" s="198" t="inlineStr">
        <is>
          <t>Brezza</t>
        </is>
      </c>
      <c r="D1248" s="199" t="inlineStr">
        <is>
          <t>Brezza Zxi Plus</t>
        </is>
      </c>
      <c r="E1248" s="200" t="inlineStr">
        <is>
          <t>Magma Grey</t>
        </is>
      </c>
    </row>
    <row r="1249" ht="15" customHeight="1">
      <c r="A1249" s="196" t="n">
        <v>1245</v>
      </c>
      <c r="B1249" s="197" t="inlineStr">
        <is>
          <t>Maruti Suzuki</t>
        </is>
      </c>
      <c r="C1249" s="198" t="inlineStr">
        <is>
          <t>Brezza</t>
        </is>
      </c>
      <c r="D1249" s="199" t="inlineStr">
        <is>
          <t>Brezza Zxi Plus</t>
        </is>
      </c>
      <c r="E1249" s="200" t="inlineStr">
        <is>
          <t>Pearl Arctic White</t>
        </is>
      </c>
    </row>
    <row r="1250" ht="15" customHeight="1">
      <c r="A1250" s="196" t="n">
        <v>1246</v>
      </c>
      <c r="B1250" s="197" t="inlineStr">
        <is>
          <t>Maruti Suzuki</t>
        </is>
      </c>
      <c r="C1250" s="198" t="inlineStr">
        <is>
          <t>Brezza</t>
        </is>
      </c>
      <c r="D1250" s="199" t="inlineStr">
        <is>
          <t>Brezza Zxi Plus</t>
        </is>
      </c>
      <c r="E1250" s="200" t="inlineStr">
        <is>
          <t>Splendid Silver</t>
        </is>
      </c>
    </row>
    <row r="1251" ht="15" customHeight="1">
      <c r="A1251" s="196" t="n">
        <v>1247</v>
      </c>
      <c r="B1251" s="197" t="inlineStr">
        <is>
          <t>Maruti Suzuki</t>
        </is>
      </c>
      <c r="C1251" s="198" t="inlineStr">
        <is>
          <t>Celerio</t>
        </is>
      </c>
      <c r="D1251" s="199" t="inlineStr">
        <is>
          <t>Celerio LXi</t>
        </is>
      </c>
      <c r="E1251" s="200" t="inlineStr">
        <is>
          <t>Metallic Glistening Grey</t>
        </is>
      </c>
    </row>
    <row r="1252" ht="15" customHeight="1">
      <c r="A1252" s="196" t="n">
        <v>1248</v>
      </c>
      <c r="B1252" s="197" t="inlineStr">
        <is>
          <t>Maruti Suzuki</t>
        </is>
      </c>
      <c r="C1252" s="198" t="inlineStr">
        <is>
          <t>Celerio</t>
        </is>
      </c>
      <c r="D1252" s="199" t="inlineStr">
        <is>
          <t>Celerio LXi</t>
        </is>
      </c>
      <c r="E1252" s="200" t="inlineStr">
        <is>
          <t>Metallic Silky Silver</t>
        </is>
      </c>
    </row>
    <row r="1253" ht="15" customHeight="1">
      <c r="A1253" s="196" t="n">
        <v>1249</v>
      </c>
      <c r="B1253" s="197" t="inlineStr">
        <is>
          <t>Maruti Suzuki</t>
        </is>
      </c>
      <c r="C1253" s="198" t="inlineStr">
        <is>
          <t>Celerio</t>
        </is>
      </c>
      <c r="D1253" s="199" t="inlineStr">
        <is>
          <t>Celerio LXi</t>
        </is>
      </c>
      <c r="E1253" s="200" t="inlineStr">
        <is>
          <t>Metallic Speedy Blue</t>
        </is>
      </c>
    </row>
    <row r="1254" ht="15" customHeight="1">
      <c r="A1254" s="196" t="n">
        <v>1250</v>
      </c>
      <c r="B1254" s="197" t="inlineStr">
        <is>
          <t>Maruti Suzuki</t>
        </is>
      </c>
      <c r="C1254" s="198" t="inlineStr">
        <is>
          <t>Celerio</t>
        </is>
      </c>
      <c r="D1254" s="199" t="inlineStr">
        <is>
          <t>Celerio LXi</t>
        </is>
      </c>
      <c r="E1254" s="200" t="inlineStr">
        <is>
          <t>Pearl Arctic White</t>
        </is>
      </c>
    </row>
    <row r="1255" ht="15" customHeight="1">
      <c r="A1255" s="196" t="n">
        <v>1251</v>
      </c>
      <c r="B1255" s="197" t="inlineStr">
        <is>
          <t>Maruti Suzuki</t>
        </is>
      </c>
      <c r="C1255" s="198" t="inlineStr">
        <is>
          <t>Celerio</t>
        </is>
      </c>
      <c r="D1255" s="199" t="inlineStr">
        <is>
          <t>Celerio LXi</t>
        </is>
      </c>
      <c r="E1255" s="200" t="inlineStr">
        <is>
          <t>Pearl Caffeine Brown</t>
        </is>
      </c>
    </row>
    <row r="1256" ht="15" customHeight="1">
      <c r="A1256" s="196" t="n">
        <v>1252</v>
      </c>
      <c r="B1256" s="197" t="inlineStr">
        <is>
          <t>Maruti Suzuki</t>
        </is>
      </c>
      <c r="C1256" s="198" t="inlineStr">
        <is>
          <t>Celerio</t>
        </is>
      </c>
      <c r="D1256" s="199" t="inlineStr">
        <is>
          <t>Celerio LXi</t>
        </is>
      </c>
      <c r="E1256" s="200" t="inlineStr">
        <is>
          <t>Solid Fire Red</t>
        </is>
      </c>
    </row>
    <row r="1257" ht="15" customHeight="1">
      <c r="A1257" s="196" t="n">
        <v>1253</v>
      </c>
      <c r="B1257" s="197" t="inlineStr">
        <is>
          <t>Maruti Suzuki</t>
        </is>
      </c>
      <c r="C1257" s="198" t="inlineStr">
        <is>
          <t>Celerio</t>
        </is>
      </c>
      <c r="D1257" s="199" t="inlineStr">
        <is>
          <t>Celerio VXi</t>
        </is>
      </c>
      <c r="E1257" s="200" t="inlineStr">
        <is>
          <t>Metallic Glistening Grey</t>
        </is>
      </c>
    </row>
    <row r="1258" ht="15" customHeight="1">
      <c r="A1258" s="196" t="n">
        <v>1254</v>
      </c>
      <c r="B1258" s="197" t="inlineStr">
        <is>
          <t>Maruti Suzuki</t>
        </is>
      </c>
      <c r="C1258" s="198" t="inlineStr">
        <is>
          <t>Celerio</t>
        </is>
      </c>
      <c r="D1258" s="199" t="inlineStr">
        <is>
          <t>Celerio VXi</t>
        </is>
      </c>
      <c r="E1258" s="200" t="inlineStr">
        <is>
          <t>Metallic Silky Silver</t>
        </is>
      </c>
    </row>
    <row r="1259" ht="15" customHeight="1">
      <c r="A1259" s="196" t="n">
        <v>1255</v>
      </c>
      <c r="B1259" s="197" t="inlineStr">
        <is>
          <t>Maruti Suzuki</t>
        </is>
      </c>
      <c r="C1259" s="198" t="inlineStr">
        <is>
          <t>Celerio</t>
        </is>
      </c>
      <c r="D1259" s="199" t="inlineStr">
        <is>
          <t>Celerio VXi</t>
        </is>
      </c>
      <c r="E1259" s="200" t="inlineStr">
        <is>
          <t>Metallic Speedy Blue</t>
        </is>
      </c>
    </row>
    <row r="1260" ht="15" customHeight="1">
      <c r="A1260" s="196" t="n">
        <v>1256</v>
      </c>
      <c r="B1260" s="197" t="inlineStr">
        <is>
          <t>Maruti Suzuki</t>
        </is>
      </c>
      <c r="C1260" s="198" t="inlineStr">
        <is>
          <t>Celerio</t>
        </is>
      </c>
      <c r="D1260" s="199" t="inlineStr">
        <is>
          <t>Celerio VXi</t>
        </is>
      </c>
      <c r="E1260" s="200" t="inlineStr">
        <is>
          <t>Pearl Arctic White</t>
        </is>
      </c>
    </row>
    <row r="1261" ht="15" customHeight="1">
      <c r="A1261" s="196" t="n">
        <v>1257</v>
      </c>
      <c r="B1261" s="197" t="inlineStr">
        <is>
          <t>Maruti Suzuki</t>
        </is>
      </c>
      <c r="C1261" s="198" t="inlineStr">
        <is>
          <t>Celerio</t>
        </is>
      </c>
      <c r="D1261" s="199" t="inlineStr">
        <is>
          <t>Celerio VXi</t>
        </is>
      </c>
      <c r="E1261" s="200" t="inlineStr">
        <is>
          <t>Pearl Bluish Black</t>
        </is>
      </c>
    </row>
    <row r="1262" ht="15" customHeight="1">
      <c r="A1262" s="196" t="n">
        <v>1258</v>
      </c>
      <c r="B1262" s="197" t="inlineStr">
        <is>
          <t>Maruti Suzuki</t>
        </is>
      </c>
      <c r="C1262" s="198" t="inlineStr">
        <is>
          <t>Celerio</t>
        </is>
      </c>
      <c r="D1262" s="199" t="inlineStr">
        <is>
          <t>Celerio VXi</t>
        </is>
      </c>
      <c r="E1262" s="200" t="inlineStr">
        <is>
          <t>Pearl Caffeine Brown</t>
        </is>
      </c>
    </row>
    <row r="1263" ht="15" customHeight="1">
      <c r="A1263" s="196" t="n">
        <v>1259</v>
      </c>
      <c r="B1263" s="197" t="inlineStr">
        <is>
          <t>Maruti Suzuki</t>
        </is>
      </c>
      <c r="C1263" s="198" t="inlineStr">
        <is>
          <t>Celerio</t>
        </is>
      </c>
      <c r="D1263" s="199" t="inlineStr">
        <is>
          <t>Celerio VXi</t>
        </is>
      </c>
      <c r="E1263" s="200" t="inlineStr">
        <is>
          <t>Solid Fire Red</t>
        </is>
      </c>
    </row>
    <row r="1264" ht="15" customHeight="1">
      <c r="A1264" s="196" t="n">
        <v>1260</v>
      </c>
      <c r="B1264" s="197" t="inlineStr">
        <is>
          <t>Maruti Suzuki</t>
        </is>
      </c>
      <c r="C1264" s="198" t="inlineStr">
        <is>
          <t>Celerio</t>
        </is>
      </c>
      <c r="D1264" s="199" t="inlineStr">
        <is>
          <t>Celerio ZXi</t>
        </is>
      </c>
      <c r="E1264" s="200" t="inlineStr">
        <is>
          <t>Metallic Glistening Grey</t>
        </is>
      </c>
    </row>
    <row r="1265" ht="15" customHeight="1">
      <c r="A1265" s="196" t="n">
        <v>1261</v>
      </c>
      <c r="B1265" s="197" t="inlineStr">
        <is>
          <t>Maruti Suzuki</t>
        </is>
      </c>
      <c r="C1265" s="198" t="inlineStr">
        <is>
          <t>Celerio</t>
        </is>
      </c>
      <c r="D1265" s="199" t="inlineStr">
        <is>
          <t>Celerio ZXi</t>
        </is>
      </c>
      <c r="E1265" s="200" t="inlineStr">
        <is>
          <t>Metallic Silky Silver</t>
        </is>
      </c>
    </row>
    <row r="1266" ht="15" customHeight="1">
      <c r="A1266" s="196" t="n">
        <v>1262</v>
      </c>
      <c r="B1266" s="197" t="inlineStr">
        <is>
          <t>Maruti Suzuki</t>
        </is>
      </c>
      <c r="C1266" s="198" t="inlineStr">
        <is>
          <t>Celerio</t>
        </is>
      </c>
      <c r="D1266" s="199" t="inlineStr">
        <is>
          <t>Celerio ZXi</t>
        </is>
      </c>
      <c r="E1266" s="200" t="inlineStr">
        <is>
          <t>Metallic Speedy Blue</t>
        </is>
      </c>
    </row>
    <row r="1267" ht="15" customHeight="1">
      <c r="A1267" s="196" t="n">
        <v>1263</v>
      </c>
      <c r="B1267" s="197" t="inlineStr">
        <is>
          <t>Maruti Suzuki</t>
        </is>
      </c>
      <c r="C1267" s="198" t="inlineStr">
        <is>
          <t>Celerio</t>
        </is>
      </c>
      <c r="D1267" s="199" t="inlineStr">
        <is>
          <t>Celerio ZXi</t>
        </is>
      </c>
      <c r="E1267" s="200" t="inlineStr">
        <is>
          <t>Pearl Arctic White</t>
        </is>
      </c>
    </row>
    <row r="1268" ht="15" customHeight="1">
      <c r="A1268" s="196" t="n">
        <v>1264</v>
      </c>
      <c r="B1268" s="197" t="inlineStr">
        <is>
          <t>Maruti Suzuki</t>
        </is>
      </c>
      <c r="C1268" s="198" t="inlineStr">
        <is>
          <t>Celerio</t>
        </is>
      </c>
      <c r="D1268" s="199" t="inlineStr">
        <is>
          <t>Celerio ZXi</t>
        </is>
      </c>
      <c r="E1268" s="200" t="inlineStr">
        <is>
          <t>Pearl Bluish Black</t>
        </is>
      </c>
    </row>
    <row r="1269" ht="15" customHeight="1">
      <c r="A1269" s="196" t="n">
        <v>1265</v>
      </c>
      <c r="B1269" s="197" t="inlineStr">
        <is>
          <t>Maruti Suzuki</t>
        </is>
      </c>
      <c r="C1269" s="198" t="inlineStr">
        <is>
          <t>Celerio</t>
        </is>
      </c>
      <c r="D1269" s="199" t="inlineStr">
        <is>
          <t>Celerio ZXi</t>
        </is>
      </c>
      <c r="E1269" s="200" t="inlineStr">
        <is>
          <t>Pearl Caffeine Brown</t>
        </is>
      </c>
    </row>
    <row r="1270" ht="15" customHeight="1">
      <c r="A1270" s="196" t="n">
        <v>1266</v>
      </c>
      <c r="B1270" s="197" t="inlineStr">
        <is>
          <t>Maruti Suzuki</t>
        </is>
      </c>
      <c r="C1270" s="198" t="inlineStr">
        <is>
          <t>Celerio</t>
        </is>
      </c>
      <c r="D1270" s="199" t="inlineStr">
        <is>
          <t>Celerio ZXi</t>
        </is>
      </c>
      <c r="E1270" s="200" t="inlineStr">
        <is>
          <t>Solid Fire Red</t>
        </is>
      </c>
    </row>
    <row r="1271" ht="15" customHeight="1">
      <c r="A1271" s="196" t="n">
        <v>1267</v>
      </c>
      <c r="B1271" s="197" t="inlineStr">
        <is>
          <t>Maruti Suzuki</t>
        </is>
      </c>
      <c r="C1271" s="198" t="inlineStr">
        <is>
          <t>Celerio</t>
        </is>
      </c>
      <c r="D1271" s="199" t="inlineStr">
        <is>
          <t>Celerio ZXi Plus</t>
        </is>
      </c>
      <c r="E1271" s="200" t="inlineStr">
        <is>
          <t>Metallic Glistening Grey</t>
        </is>
      </c>
    </row>
    <row r="1272" ht="15" customHeight="1">
      <c r="A1272" s="196" t="n">
        <v>1268</v>
      </c>
      <c r="B1272" s="197" t="inlineStr">
        <is>
          <t>Maruti Suzuki</t>
        </is>
      </c>
      <c r="C1272" s="198" t="inlineStr">
        <is>
          <t>Celerio</t>
        </is>
      </c>
      <c r="D1272" s="199" t="inlineStr">
        <is>
          <t>Celerio ZXi Plus</t>
        </is>
      </c>
      <c r="E1272" s="200" t="inlineStr">
        <is>
          <t>Metallic Silky Silver</t>
        </is>
      </c>
    </row>
    <row r="1273" ht="15" customHeight="1">
      <c r="A1273" s="196" t="n">
        <v>1269</v>
      </c>
      <c r="B1273" s="197" t="inlineStr">
        <is>
          <t>Maruti Suzuki</t>
        </is>
      </c>
      <c r="C1273" s="198" t="inlineStr">
        <is>
          <t>Celerio</t>
        </is>
      </c>
      <c r="D1273" s="199" t="inlineStr">
        <is>
          <t>Celerio ZXi Plus</t>
        </is>
      </c>
      <c r="E1273" s="200" t="inlineStr">
        <is>
          <t>Metallic Speedy Blue</t>
        </is>
      </c>
    </row>
    <row r="1274" ht="15" customHeight="1">
      <c r="A1274" s="196" t="n">
        <v>1270</v>
      </c>
      <c r="B1274" s="197" t="inlineStr">
        <is>
          <t>Maruti Suzuki</t>
        </is>
      </c>
      <c r="C1274" s="198" t="inlineStr">
        <is>
          <t>Celerio</t>
        </is>
      </c>
      <c r="D1274" s="199" t="inlineStr">
        <is>
          <t>Celerio ZXi Plus</t>
        </is>
      </c>
      <c r="E1274" s="200" t="inlineStr">
        <is>
          <t>Pearl Arctic White</t>
        </is>
      </c>
    </row>
    <row r="1275" ht="15" customHeight="1">
      <c r="A1275" s="196" t="n">
        <v>1271</v>
      </c>
      <c r="B1275" s="197" t="inlineStr">
        <is>
          <t>Maruti Suzuki</t>
        </is>
      </c>
      <c r="C1275" s="198" t="inlineStr">
        <is>
          <t>Celerio</t>
        </is>
      </c>
      <c r="D1275" s="199" t="inlineStr">
        <is>
          <t>Celerio ZXi Plus</t>
        </is>
      </c>
      <c r="E1275" s="200" t="inlineStr">
        <is>
          <t>Pearl Bluish Black</t>
        </is>
      </c>
    </row>
    <row r="1276" ht="15" customHeight="1">
      <c r="A1276" s="196" t="n">
        <v>1272</v>
      </c>
      <c r="B1276" s="197" t="inlineStr">
        <is>
          <t>Maruti Suzuki</t>
        </is>
      </c>
      <c r="C1276" s="198" t="inlineStr">
        <is>
          <t>Celerio</t>
        </is>
      </c>
      <c r="D1276" s="199" t="inlineStr">
        <is>
          <t>Celerio ZXi Plus</t>
        </is>
      </c>
      <c r="E1276" s="200" t="inlineStr">
        <is>
          <t>Pearl Caffeine Brown</t>
        </is>
      </c>
    </row>
    <row r="1277" ht="15" customHeight="1">
      <c r="A1277" s="196" t="n">
        <v>1273</v>
      </c>
      <c r="B1277" s="197" t="inlineStr">
        <is>
          <t>Maruti Suzuki</t>
        </is>
      </c>
      <c r="C1277" s="198" t="inlineStr">
        <is>
          <t>Celerio</t>
        </is>
      </c>
      <c r="D1277" s="199" t="inlineStr">
        <is>
          <t>Celerio ZXi Plus</t>
        </is>
      </c>
      <c r="E1277" s="200" t="inlineStr">
        <is>
          <t>Solid Fire Red</t>
        </is>
      </c>
    </row>
    <row r="1278" ht="15" customHeight="1">
      <c r="A1278" s="196" t="n">
        <v>1274</v>
      </c>
      <c r="B1278" s="197" t="inlineStr">
        <is>
          <t>Maruti Suzuki</t>
        </is>
      </c>
      <c r="C1278" s="198" t="inlineStr">
        <is>
          <t>Ciaz</t>
        </is>
      </c>
      <c r="D1278" s="199" t="inlineStr">
        <is>
          <t>Ciaz Alpha</t>
        </is>
      </c>
      <c r="E1278" s="200" t="inlineStr">
        <is>
          <t>Bluish Black</t>
        </is>
      </c>
    </row>
    <row r="1279" ht="15" customHeight="1">
      <c r="A1279" s="196" t="n">
        <v>1275</v>
      </c>
      <c r="B1279" s="197" t="inlineStr">
        <is>
          <t>Maruti Suzuki</t>
        </is>
      </c>
      <c r="C1279" s="198" t="inlineStr">
        <is>
          <t>Ciaz</t>
        </is>
      </c>
      <c r="D1279" s="199" t="inlineStr">
        <is>
          <t>Ciaz Alpha</t>
        </is>
      </c>
      <c r="E1279" s="200" t="inlineStr">
        <is>
          <t>Pearl Arctic White</t>
        </is>
      </c>
    </row>
    <row r="1280" ht="15" customHeight="1">
      <c r="A1280" s="196" t="n">
        <v>1276</v>
      </c>
      <c r="B1280" s="197" t="inlineStr">
        <is>
          <t>Maruti Suzuki</t>
        </is>
      </c>
      <c r="C1280" s="198" t="inlineStr">
        <is>
          <t>Ciaz</t>
        </is>
      </c>
      <c r="D1280" s="199" t="inlineStr">
        <is>
          <t>Ciaz Alpha</t>
        </is>
      </c>
      <c r="E1280" s="200" t="inlineStr">
        <is>
          <t>Prme. Celestial Blue</t>
        </is>
      </c>
    </row>
    <row r="1281" ht="15" customHeight="1">
      <c r="A1281" s="196" t="n">
        <v>1277</v>
      </c>
      <c r="B1281" s="197" t="inlineStr">
        <is>
          <t>Maruti Suzuki</t>
        </is>
      </c>
      <c r="C1281" s="198" t="inlineStr">
        <is>
          <t>Ciaz</t>
        </is>
      </c>
      <c r="D1281" s="199" t="inlineStr">
        <is>
          <t>Ciaz Alpha</t>
        </is>
      </c>
      <c r="E1281" s="200" t="inlineStr">
        <is>
          <t>Prme. Splendid Silver</t>
        </is>
      </c>
    </row>
    <row r="1282" ht="15" customHeight="1">
      <c r="A1282" s="196" t="n">
        <v>1278</v>
      </c>
      <c r="B1282" s="197" t="inlineStr">
        <is>
          <t>Maruti Suzuki</t>
        </is>
      </c>
      <c r="C1282" s="198" t="inlineStr">
        <is>
          <t>Ciaz</t>
        </is>
      </c>
      <c r="D1282" s="199" t="inlineStr">
        <is>
          <t>Ciaz Delta</t>
        </is>
      </c>
      <c r="E1282" s="200" t="inlineStr">
        <is>
          <t>Bluish Black</t>
        </is>
      </c>
    </row>
    <row r="1283" ht="15" customHeight="1">
      <c r="A1283" s="196" t="n">
        <v>1279</v>
      </c>
      <c r="B1283" s="197" t="inlineStr">
        <is>
          <t>Maruti Suzuki</t>
        </is>
      </c>
      <c r="C1283" s="198" t="inlineStr">
        <is>
          <t>Ciaz</t>
        </is>
      </c>
      <c r="D1283" s="199" t="inlineStr">
        <is>
          <t>Ciaz Delta</t>
        </is>
      </c>
      <c r="E1283" s="200" t="inlineStr">
        <is>
          <t>Pearl Arctic White</t>
        </is>
      </c>
    </row>
    <row r="1284" ht="15" customHeight="1">
      <c r="A1284" s="196" t="n">
        <v>1280</v>
      </c>
      <c r="B1284" s="197" t="inlineStr">
        <is>
          <t>Maruti Suzuki</t>
        </is>
      </c>
      <c r="C1284" s="198" t="inlineStr">
        <is>
          <t>Ciaz</t>
        </is>
      </c>
      <c r="D1284" s="199" t="inlineStr">
        <is>
          <t>Ciaz Delta</t>
        </is>
      </c>
      <c r="E1284" s="200" t="inlineStr">
        <is>
          <t>Prme. Celestial Blue</t>
        </is>
      </c>
    </row>
    <row r="1285" ht="15" customHeight="1">
      <c r="A1285" s="196" t="n">
        <v>1281</v>
      </c>
      <c r="B1285" s="197" t="inlineStr">
        <is>
          <t>Maruti Suzuki</t>
        </is>
      </c>
      <c r="C1285" s="198" t="inlineStr">
        <is>
          <t>Ciaz</t>
        </is>
      </c>
      <c r="D1285" s="199" t="inlineStr">
        <is>
          <t>Ciaz Delta</t>
        </is>
      </c>
      <c r="E1285" s="200" t="inlineStr">
        <is>
          <t>Prme. Dignity Brown</t>
        </is>
      </c>
    </row>
    <row r="1286" ht="15" customHeight="1">
      <c r="A1286" s="196" t="n">
        <v>1282</v>
      </c>
      <c r="B1286" s="197" t="inlineStr">
        <is>
          <t>Maruti Suzuki</t>
        </is>
      </c>
      <c r="C1286" s="198" t="inlineStr">
        <is>
          <t>Ciaz</t>
        </is>
      </c>
      <c r="D1286" s="199" t="inlineStr">
        <is>
          <t>Ciaz Delta</t>
        </is>
      </c>
      <c r="E1286" s="200" t="inlineStr">
        <is>
          <t>Prme. Opulent Red</t>
        </is>
      </c>
    </row>
    <row r="1287" ht="15" customHeight="1">
      <c r="A1287" s="196" t="n">
        <v>1283</v>
      </c>
      <c r="B1287" s="197" t="inlineStr">
        <is>
          <t>Maruti Suzuki</t>
        </is>
      </c>
      <c r="C1287" s="198" t="inlineStr">
        <is>
          <t>Ciaz</t>
        </is>
      </c>
      <c r="D1287" s="199" t="inlineStr">
        <is>
          <t>Ciaz Delta</t>
        </is>
      </c>
      <c r="E1287" s="200" t="inlineStr">
        <is>
          <t>Prme. Splendid Silver</t>
        </is>
      </c>
    </row>
    <row r="1288" ht="15" customHeight="1">
      <c r="A1288" s="196" t="n">
        <v>1284</v>
      </c>
      <c r="B1288" s="197" t="inlineStr">
        <is>
          <t>Maruti Suzuki</t>
        </is>
      </c>
      <c r="C1288" s="198" t="inlineStr">
        <is>
          <t>Ciaz</t>
        </is>
      </c>
      <c r="D1288" s="199" t="inlineStr">
        <is>
          <t>Ciaz Sigma</t>
        </is>
      </c>
      <c r="E1288" s="200" t="inlineStr">
        <is>
          <t>Bluish Black</t>
        </is>
      </c>
    </row>
    <row r="1289" ht="15" customHeight="1">
      <c r="A1289" s="196" t="n">
        <v>1285</v>
      </c>
      <c r="B1289" s="197" t="inlineStr">
        <is>
          <t>Maruti Suzuki</t>
        </is>
      </c>
      <c r="C1289" s="198" t="inlineStr">
        <is>
          <t>Ciaz</t>
        </is>
      </c>
      <c r="D1289" s="199" t="inlineStr">
        <is>
          <t>Ciaz Sigma</t>
        </is>
      </c>
      <c r="E1289" s="200" t="inlineStr">
        <is>
          <t>Pearl Arctic White</t>
        </is>
      </c>
    </row>
    <row r="1290" ht="15" customHeight="1">
      <c r="A1290" s="196" t="n">
        <v>1286</v>
      </c>
      <c r="B1290" s="197" t="inlineStr">
        <is>
          <t>Maruti Suzuki</t>
        </is>
      </c>
      <c r="C1290" s="198" t="inlineStr">
        <is>
          <t>Ciaz</t>
        </is>
      </c>
      <c r="D1290" s="199" t="inlineStr">
        <is>
          <t>Ciaz Sigma</t>
        </is>
      </c>
      <c r="E1290" s="200" t="inlineStr">
        <is>
          <t>Prme. Celestial Blue</t>
        </is>
      </c>
    </row>
    <row r="1291" ht="15" customHeight="1">
      <c r="A1291" s="196" t="n">
        <v>1287</v>
      </c>
      <c r="B1291" s="197" t="inlineStr">
        <is>
          <t>Maruti Suzuki</t>
        </is>
      </c>
      <c r="C1291" s="198" t="inlineStr">
        <is>
          <t>Ciaz</t>
        </is>
      </c>
      <c r="D1291" s="199" t="inlineStr">
        <is>
          <t>Ciaz Sigma</t>
        </is>
      </c>
      <c r="E1291" s="200" t="inlineStr">
        <is>
          <t>Prme. Dignity Brown</t>
        </is>
      </c>
    </row>
    <row r="1292" ht="15" customHeight="1">
      <c r="A1292" s="196" t="n">
        <v>1288</v>
      </c>
      <c r="B1292" s="197" t="inlineStr">
        <is>
          <t>Maruti Suzuki</t>
        </is>
      </c>
      <c r="C1292" s="198" t="inlineStr">
        <is>
          <t>Ciaz</t>
        </is>
      </c>
      <c r="D1292" s="199" t="inlineStr">
        <is>
          <t>Ciaz Sigma</t>
        </is>
      </c>
      <c r="E1292" s="200" t="inlineStr">
        <is>
          <t>Prme. Opulent Red</t>
        </is>
      </c>
    </row>
    <row r="1293" ht="15" customHeight="1">
      <c r="A1293" s="196" t="n">
        <v>1289</v>
      </c>
      <c r="B1293" s="197" t="inlineStr">
        <is>
          <t>Maruti Suzuki</t>
        </is>
      </c>
      <c r="C1293" s="198" t="inlineStr">
        <is>
          <t>Ciaz</t>
        </is>
      </c>
      <c r="D1293" s="199" t="inlineStr">
        <is>
          <t>Ciaz Sigma</t>
        </is>
      </c>
      <c r="E1293" s="200" t="inlineStr">
        <is>
          <t>Prme. Splendid Silver</t>
        </is>
      </c>
    </row>
    <row r="1294" ht="15" customHeight="1">
      <c r="A1294" s="196" t="n">
        <v>1290</v>
      </c>
      <c r="B1294" s="197" t="inlineStr">
        <is>
          <t>Maruti Suzuki</t>
        </is>
      </c>
      <c r="C1294" s="198" t="inlineStr">
        <is>
          <t>Ciaz</t>
        </is>
      </c>
      <c r="D1294" s="199" t="inlineStr">
        <is>
          <t>Ciaz Zeta</t>
        </is>
      </c>
      <c r="E1294" s="200" t="inlineStr">
        <is>
          <t>Bluish Black</t>
        </is>
      </c>
    </row>
    <row r="1295" ht="15" customHeight="1">
      <c r="A1295" s="196" t="n">
        <v>1291</v>
      </c>
      <c r="B1295" s="197" t="inlineStr">
        <is>
          <t>Maruti Suzuki</t>
        </is>
      </c>
      <c r="C1295" s="198" t="inlineStr">
        <is>
          <t>Ciaz</t>
        </is>
      </c>
      <c r="D1295" s="199" t="inlineStr">
        <is>
          <t>Ciaz Zeta</t>
        </is>
      </c>
      <c r="E1295" s="200" t="inlineStr">
        <is>
          <t>Pearl Arctic White</t>
        </is>
      </c>
    </row>
    <row r="1296" ht="15" customHeight="1">
      <c r="A1296" s="196" t="n">
        <v>1292</v>
      </c>
      <c r="B1296" s="197" t="inlineStr">
        <is>
          <t>Maruti Suzuki</t>
        </is>
      </c>
      <c r="C1296" s="198" t="inlineStr">
        <is>
          <t>Ciaz</t>
        </is>
      </c>
      <c r="D1296" s="199" t="inlineStr">
        <is>
          <t>Ciaz Zeta</t>
        </is>
      </c>
      <c r="E1296" s="200" t="inlineStr">
        <is>
          <t>Prme. Celestial Blue</t>
        </is>
      </c>
    </row>
    <row r="1297" ht="15" customHeight="1">
      <c r="A1297" s="196" t="n">
        <v>1293</v>
      </c>
      <c r="B1297" s="197" t="inlineStr">
        <is>
          <t>Maruti Suzuki</t>
        </is>
      </c>
      <c r="C1297" s="198" t="inlineStr">
        <is>
          <t>Ciaz</t>
        </is>
      </c>
      <c r="D1297" s="199" t="inlineStr">
        <is>
          <t>Ciaz Zeta</t>
        </is>
      </c>
      <c r="E1297" s="200" t="inlineStr">
        <is>
          <t>Prme. Dignity Brown</t>
        </is>
      </c>
    </row>
    <row r="1298" ht="15" customHeight="1">
      <c r="A1298" s="196" t="n">
        <v>1294</v>
      </c>
      <c r="B1298" s="197" t="inlineStr">
        <is>
          <t>Maruti Suzuki</t>
        </is>
      </c>
      <c r="C1298" s="198" t="inlineStr">
        <is>
          <t>Ciaz</t>
        </is>
      </c>
      <c r="D1298" s="199" t="inlineStr">
        <is>
          <t>Ciaz Zeta</t>
        </is>
      </c>
      <c r="E1298" s="200" t="inlineStr">
        <is>
          <t>Prme. Opulent Red</t>
        </is>
      </c>
    </row>
    <row r="1299" ht="15" customHeight="1">
      <c r="A1299" s="196" t="n">
        <v>1295</v>
      </c>
      <c r="B1299" s="197" t="inlineStr">
        <is>
          <t>Maruti Suzuki</t>
        </is>
      </c>
      <c r="C1299" s="198" t="inlineStr">
        <is>
          <t>Ciaz</t>
        </is>
      </c>
      <c r="D1299" s="199" t="inlineStr">
        <is>
          <t>Ciaz Zeta</t>
        </is>
      </c>
      <c r="E1299" s="200" t="inlineStr">
        <is>
          <t>Prme. Splendid Silver</t>
        </is>
      </c>
    </row>
    <row r="1300" ht="15" customHeight="1">
      <c r="A1300" s="196" t="n">
        <v>1296</v>
      </c>
      <c r="B1300" s="197" t="inlineStr">
        <is>
          <t>Maruti Suzuki</t>
        </is>
      </c>
      <c r="C1300" s="198" t="inlineStr">
        <is>
          <t>Dzire</t>
        </is>
      </c>
      <c r="D1300" s="199" t="inlineStr">
        <is>
          <t>Dzire LXi</t>
        </is>
      </c>
      <c r="E1300" s="200" t="inlineStr">
        <is>
          <t>Alluring Blue</t>
        </is>
      </c>
    </row>
    <row r="1301" ht="15" customHeight="1">
      <c r="A1301" s="196" t="n">
        <v>1297</v>
      </c>
      <c r="B1301" s="197" t="inlineStr">
        <is>
          <t>Maruti Suzuki</t>
        </is>
      </c>
      <c r="C1301" s="198" t="inlineStr">
        <is>
          <t>Dzire</t>
        </is>
      </c>
      <c r="D1301" s="199" t="inlineStr">
        <is>
          <t>Dzire LXi</t>
        </is>
      </c>
      <c r="E1301" s="200" t="inlineStr">
        <is>
          <t>Arctic White</t>
        </is>
      </c>
    </row>
    <row r="1302" ht="15" customHeight="1">
      <c r="A1302" s="196" t="n">
        <v>1298</v>
      </c>
      <c r="B1302" s="197" t="inlineStr">
        <is>
          <t>Maruti Suzuki</t>
        </is>
      </c>
      <c r="C1302" s="198" t="inlineStr">
        <is>
          <t>Dzire</t>
        </is>
      </c>
      <c r="D1302" s="199" t="inlineStr">
        <is>
          <t>Dzire LXi</t>
        </is>
      </c>
      <c r="E1302" s="200" t="inlineStr">
        <is>
          <t>Bluish Black</t>
        </is>
      </c>
    </row>
    <row r="1303" ht="15" customHeight="1">
      <c r="A1303" s="196" t="n">
        <v>1299</v>
      </c>
      <c r="B1303" s="197" t="inlineStr">
        <is>
          <t>Maruti Suzuki</t>
        </is>
      </c>
      <c r="C1303" s="198" t="inlineStr">
        <is>
          <t>Dzire</t>
        </is>
      </c>
      <c r="D1303" s="199" t="inlineStr">
        <is>
          <t>Dzire LXi</t>
        </is>
      </c>
      <c r="E1303" s="200" t="inlineStr">
        <is>
          <t>Gallant Red</t>
        </is>
      </c>
    </row>
    <row r="1304" ht="15" customHeight="1">
      <c r="A1304" s="196" t="n">
        <v>1300</v>
      </c>
      <c r="B1304" s="197" t="inlineStr">
        <is>
          <t>Maruti Suzuki</t>
        </is>
      </c>
      <c r="C1304" s="198" t="inlineStr">
        <is>
          <t>Dzire</t>
        </is>
      </c>
      <c r="D1304" s="199" t="inlineStr">
        <is>
          <t>Dzire LXi</t>
        </is>
      </c>
      <c r="E1304" s="200" t="inlineStr">
        <is>
          <t>Magma Grey</t>
        </is>
      </c>
    </row>
    <row r="1305" ht="15" customHeight="1">
      <c r="A1305" s="196" t="n">
        <v>1301</v>
      </c>
      <c r="B1305" s="197" t="inlineStr">
        <is>
          <t>Maruti Suzuki</t>
        </is>
      </c>
      <c r="C1305" s="198" t="inlineStr">
        <is>
          <t>Dzire</t>
        </is>
      </c>
      <c r="D1305" s="199" t="inlineStr">
        <is>
          <t>Dzire LXi</t>
        </is>
      </c>
      <c r="E1305" s="200" t="inlineStr">
        <is>
          <t>Nutmeg Brown</t>
        </is>
      </c>
    </row>
    <row r="1306" ht="15" customHeight="1">
      <c r="A1306" s="196" t="n">
        <v>1302</v>
      </c>
      <c r="B1306" s="197" t="inlineStr">
        <is>
          <t>Maruti Suzuki</t>
        </is>
      </c>
      <c r="C1306" s="198" t="inlineStr">
        <is>
          <t>Dzire</t>
        </is>
      </c>
      <c r="D1306" s="199" t="inlineStr">
        <is>
          <t>Dzire LXi</t>
        </is>
      </c>
      <c r="E1306" s="200" t="inlineStr">
        <is>
          <t>Splendid Silver</t>
        </is>
      </c>
    </row>
    <row r="1307" ht="15" customHeight="1">
      <c r="A1307" s="196" t="n">
        <v>1303</v>
      </c>
      <c r="B1307" s="197" t="inlineStr">
        <is>
          <t>Maruti Suzuki</t>
        </is>
      </c>
      <c r="C1307" s="198" t="inlineStr">
        <is>
          <t>Dzire</t>
        </is>
      </c>
      <c r="D1307" s="199" t="inlineStr">
        <is>
          <t>Dzire VXi</t>
        </is>
      </c>
      <c r="E1307" s="200" t="inlineStr">
        <is>
          <t>Alluring Blue</t>
        </is>
      </c>
    </row>
    <row r="1308" ht="15" customHeight="1">
      <c r="A1308" s="196" t="n">
        <v>1304</v>
      </c>
      <c r="B1308" s="197" t="inlineStr">
        <is>
          <t>Maruti Suzuki</t>
        </is>
      </c>
      <c r="C1308" s="198" t="inlineStr">
        <is>
          <t>Dzire</t>
        </is>
      </c>
      <c r="D1308" s="199" t="inlineStr">
        <is>
          <t>Dzire VXi</t>
        </is>
      </c>
      <c r="E1308" s="200" t="inlineStr">
        <is>
          <t>Arctic White</t>
        </is>
      </c>
    </row>
    <row r="1309" ht="15" customHeight="1">
      <c r="A1309" s="196" t="n">
        <v>1305</v>
      </c>
      <c r="B1309" s="197" t="inlineStr">
        <is>
          <t>Maruti Suzuki</t>
        </is>
      </c>
      <c r="C1309" s="198" t="inlineStr">
        <is>
          <t>Dzire</t>
        </is>
      </c>
      <c r="D1309" s="199" t="inlineStr">
        <is>
          <t>Dzire VXi</t>
        </is>
      </c>
      <c r="E1309" s="200" t="inlineStr">
        <is>
          <t>Bluish Black</t>
        </is>
      </c>
    </row>
    <row r="1310" ht="15" customHeight="1">
      <c r="A1310" s="196" t="n">
        <v>1306</v>
      </c>
      <c r="B1310" s="197" t="inlineStr">
        <is>
          <t>Maruti Suzuki</t>
        </is>
      </c>
      <c r="C1310" s="198" t="inlineStr">
        <is>
          <t>Dzire</t>
        </is>
      </c>
      <c r="D1310" s="199" t="inlineStr">
        <is>
          <t>Dzire VXi</t>
        </is>
      </c>
      <c r="E1310" s="200" t="inlineStr">
        <is>
          <t>Gallant Red</t>
        </is>
      </c>
    </row>
    <row r="1311" ht="15" customHeight="1">
      <c r="A1311" s="196" t="n">
        <v>1307</v>
      </c>
      <c r="B1311" s="197" t="inlineStr">
        <is>
          <t>Maruti Suzuki</t>
        </is>
      </c>
      <c r="C1311" s="198" t="inlineStr">
        <is>
          <t>Dzire</t>
        </is>
      </c>
      <c r="D1311" s="199" t="inlineStr">
        <is>
          <t>Dzire VXi</t>
        </is>
      </c>
      <c r="E1311" s="200" t="inlineStr">
        <is>
          <t>Magma Grey</t>
        </is>
      </c>
    </row>
    <row r="1312" ht="15" customHeight="1">
      <c r="A1312" s="196" t="n">
        <v>1308</v>
      </c>
      <c r="B1312" s="197" t="inlineStr">
        <is>
          <t>Maruti Suzuki</t>
        </is>
      </c>
      <c r="C1312" s="198" t="inlineStr">
        <is>
          <t>Dzire</t>
        </is>
      </c>
      <c r="D1312" s="199" t="inlineStr">
        <is>
          <t>Dzire VXi</t>
        </is>
      </c>
      <c r="E1312" s="200" t="inlineStr">
        <is>
          <t>Nutmeg Brown</t>
        </is>
      </c>
    </row>
    <row r="1313" ht="15" customHeight="1">
      <c r="A1313" s="196" t="n">
        <v>1309</v>
      </c>
      <c r="B1313" s="197" t="inlineStr">
        <is>
          <t>Maruti Suzuki</t>
        </is>
      </c>
      <c r="C1313" s="198" t="inlineStr">
        <is>
          <t>Dzire</t>
        </is>
      </c>
      <c r="D1313" s="199" t="inlineStr">
        <is>
          <t>Dzire VXi</t>
        </is>
      </c>
      <c r="E1313" s="200" t="inlineStr">
        <is>
          <t>Splendid Silver</t>
        </is>
      </c>
    </row>
    <row r="1314" ht="15" customHeight="1">
      <c r="A1314" s="196" t="n">
        <v>1310</v>
      </c>
      <c r="B1314" s="197" t="inlineStr">
        <is>
          <t>Maruti Suzuki</t>
        </is>
      </c>
      <c r="C1314" s="198" t="inlineStr">
        <is>
          <t>Dzire</t>
        </is>
      </c>
      <c r="D1314" s="199" t="inlineStr">
        <is>
          <t>Dzire ZXi</t>
        </is>
      </c>
      <c r="E1314" s="200" t="inlineStr">
        <is>
          <t>Alluring Blue</t>
        </is>
      </c>
    </row>
    <row r="1315" ht="15" customHeight="1">
      <c r="A1315" s="196" t="n">
        <v>1311</v>
      </c>
      <c r="B1315" s="197" t="inlineStr">
        <is>
          <t>Maruti Suzuki</t>
        </is>
      </c>
      <c r="C1315" s="198" t="inlineStr">
        <is>
          <t>Dzire</t>
        </is>
      </c>
      <c r="D1315" s="199" t="inlineStr">
        <is>
          <t>Dzire ZXi</t>
        </is>
      </c>
      <c r="E1315" s="200" t="inlineStr">
        <is>
          <t>Arctic White</t>
        </is>
      </c>
    </row>
    <row r="1316" ht="15" customHeight="1">
      <c r="A1316" s="196" t="n">
        <v>1312</v>
      </c>
      <c r="B1316" s="197" t="inlineStr">
        <is>
          <t>Maruti Suzuki</t>
        </is>
      </c>
      <c r="C1316" s="198" t="inlineStr">
        <is>
          <t>Dzire</t>
        </is>
      </c>
      <c r="D1316" s="199" t="inlineStr">
        <is>
          <t>Dzire ZXi</t>
        </is>
      </c>
      <c r="E1316" s="200" t="inlineStr">
        <is>
          <t>Bluish Black</t>
        </is>
      </c>
    </row>
    <row r="1317" ht="15" customHeight="1">
      <c r="A1317" s="196" t="n">
        <v>1313</v>
      </c>
      <c r="B1317" s="197" t="inlineStr">
        <is>
          <t>Maruti Suzuki</t>
        </is>
      </c>
      <c r="C1317" s="198" t="inlineStr">
        <is>
          <t>Dzire</t>
        </is>
      </c>
      <c r="D1317" s="199" t="inlineStr">
        <is>
          <t>Dzire ZXi</t>
        </is>
      </c>
      <c r="E1317" s="200" t="inlineStr">
        <is>
          <t>Gallant Red</t>
        </is>
      </c>
    </row>
    <row r="1318" ht="15" customHeight="1">
      <c r="A1318" s="196" t="n">
        <v>1314</v>
      </c>
      <c r="B1318" s="197" t="inlineStr">
        <is>
          <t>Maruti Suzuki</t>
        </is>
      </c>
      <c r="C1318" s="198" t="inlineStr">
        <is>
          <t>Dzire</t>
        </is>
      </c>
      <c r="D1318" s="199" t="inlineStr">
        <is>
          <t>Dzire ZXi</t>
        </is>
      </c>
      <c r="E1318" s="200" t="inlineStr">
        <is>
          <t>Magma Grey</t>
        </is>
      </c>
    </row>
    <row r="1319" ht="15" customHeight="1">
      <c r="A1319" s="196" t="n">
        <v>1315</v>
      </c>
      <c r="B1319" s="197" t="inlineStr">
        <is>
          <t>Maruti Suzuki</t>
        </is>
      </c>
      <c r="C1319" s="198" t="inlineStr">
        <is>
          <t>Dzire</t>
        </is>
      </c>
      <c r="D1319" s="199" t="inlineStr">
        <is>
          <t>Dzire ZXi</t>
        </is>
      </c>
      <c r="E1319" s="200" t="inlineStr">
        <is>
          <t>Nutmeg Brown</t>
        </is>
      </c>
    </row>
    <row r="1320" ht="15" customHeight="1">
      <c r="A1320" s="196" t="n">
        <v>1316</v>
      </c>
      <c r="B1320" s="197" t="inlineStr">
        <is>
          <t>Maruti Suzuki</t>
        </is>
      </c>
      <c r="C1320" s="198" t="inlineStr">
        <is>
          <t>Dzire</t>
        </is>
      </c>
      <c r="D1320" s="199" t="inlineStr">
        <is>
          <t>Dzire ZXi</t>
        </is>
      </c>
      <c r="E1320" s="200" t="inlineStr">
        <is>
          <t>Splendid Silver</t>
        </is>
      </c>
    </row>
    <row r="1321" ht="15" customHeight="1">
      <c r="A1321" s="196" t="n">
        <v>1317</v>
      </c>
      <c r="B1321" s="197" t="inlineStr">
        <is>
          <t>Maruti Suzuki</t>
        </is>
      </c>
      <c r="C1321" s="198" t="inlineStr">
        <is>
          <t>Dzire</t>
        </is>
      </c>
      <c r="D1321" s="199" t="inlineStr">
        <is>
          <t>Dzire ZXi Plus</t>
        </is>
      </c>
      <c r="E1321" s="200" t="inlineStr">
        <is>
          <t>Alluring Blue</t>
        </is>
      </c>
    </row>
    <row r="1322" ht="15" customHeight="1">
      <c r="A1322" s="196" t="n">
        <v>1318</v>
      </c>
      <c r="B1322" s="197" t="inlineStr">
        <is>
          <t>Maruti Suzuki</t>
        </is>
      </c>
      <c r="C1322" s="198" t="inlineStr">
        <is>
          <t>Dzire</t>
        </is>
      </c>
      <c r="D1322" s="199" t="inlineStr">
        <is>
          <t>Dzire ZXi Plus</t>
        </is>
      </c>
      <c r="E1322" s="200" t="inlineStr">
        <is>
          <t>Arctic White</t>
        </is>
      </c>
    </row>
    <row r="1323" ht="15" customHeight="1">
      <c r="A1323" s="196" t="n">
        <v>1319</v>
      </c>
      <c r="B1323" s="197" t="inlineStr">
        <is>
          <t>Maruti Suzuki</t>
        </is>
      </c>
      <c r="C1323" s="198" t="inlineStr">
        <is>
          <t>Dzire</t>
        </is>
      </c>
      <c r="D1323" s="199" t="inlineStr">
        <is>
          <t>Dzire ZXi Plus</t>
        </is>
      </c>
      <c r="E1323" s="200" t="inlineStr">
        <is>
          <t>Bluish Black</t>
        </is>
      </c>
    </row>
    <row r="1324" ht="15" customHeight="1">
      <c r="A1324" s="196" t="n">
        <v>1320</v>
      </c>
      <c r="B1324" s="197" t="inlineStr">
        <is>
          <t>Maruti Suzuki</t>
        </is>
      </c>
      <c r="C1324" s="198" t="inlineStr">
        <is>
          <t>Dzire</t>
        </is>
      </c>
      <c r="D1324" s="199" t="inlineStr">
        <is>
          <t>Dzire ZXi Plus</t>
        </is>
      </c>
      <c r="E1324" s="200" t="inlineStr">
        <is>
          <t>Gallant Red</t>
        </is>
      </c>
    </row>
    <row r="1325" ht="15" customHeight="1">
      <c r="A1325" s="196" t="n">
        <v>1321</v>
      </c>
      <c r="B1325" s="197" t="inlineStr">
        <is>
          <t>Maruti Suzuki</t>
        </is>
      </c>
      <c r="C1325" s="198" t="inlineStr">
        <is>
          <t>Dzire</t>
        </is>
      </c>
      <c r="D1325" s="199" t="inlineStr">
        <is>
          <t>Dzire ZXi Plus</t>
        </is>
      </c>
      <c r="E1325" s="200" t="inlineStr">
        <is>
          <t>Magma Grey</t>
        </is>
      </c>
    </row>
    <row r="1326" ht="15" customHeight="1">
      <c r="A1326" s="196" t="n">
        <v>1322</v>
      </c>
      <c r="B1326" s="197" t="inlineStr">
        <is>
          <t>Maruti Suzuki</t>
        </is>
      </c>
      <c r="C1326" s="198" t="inlineStr">
        <is>
          <t>Dzire</t>
        </is>
      </c>
      <c r="D1326" s="199" t="inlineStr">
        <is>
          <t>Dzire ZXi Plus</t>
        </is>
      </c>
      <c r="E1326" s="200" t="inlineStr">
        <is>
          <t>Nutmeg Brown</t>
        </is>
      </c>
    </row>
    <row r="1327" ht="15" customHeight="1">
      <c r="A1327" s="196" t="n">
        <v>1323</v>
      </c>
      <c r="B1327" s="197" t="inlineStr">
        <is>
          <t>Maruti Suzuki</t>
        </is>
      </c>
      <c r="C1327" s="198" t="inlineStr">
        <is>
          <t>Dzire</t>
        </is>
      </c>
      <c r="D1327" s="199" t="inlineStr">
        <is>
          <t>Dzire ZXi Plus</t>
        </is>
      </c>
      <c r="E1327" s="200" t="inlineStr">
        <is>
          <t>Splendid Silver</t>
        </is>
      </c>
    </row>
    <row r="1328" ht="15" customHeight="1">
      <c r="A1328" s="196" t="n">
        <v>1324</v>
      </c>
      <c r="B1328" s="197" t="inlineStr">
        <is>
          <t>Maruti Suzuki</t>
        </is>
      </c>
      <c r="C1328" s="198" t="inlineStr">
        <is>
          <t>Eeco</t>
        </is>
      </c>
      <c r="D1328" s="199" t="inlineStr">
        <is>
          <t>Eeco AC (O)</t>
        </is>
      </c>
      <c r="E1328" s="200" t="inlineStr">
        <is>
          <t>Bluish Black</t>
        </is>
      </c>
    </row>
    <row r="1329" ht="15" customHeight="1">
      <c r="A1329" s="196" t="n">
        <v>1325</v>
      </c>
      <c r="B1329" s="197" t="inlineStr">
        <is>
          <t>Maruti Suzuki</t>
        </is>
      </c>
      <c r="C1329" s="198" t="inlineStr">
        <is>
          <t>Eeco</t>
        </is>
      </c>
      <c r="D1329" s="199" t="inlineStr">
        <is>
          <t>Eeco AC (O)</t>
        </is>
      </c>
      <c r="E1329" s="200" t="inlineStr">
        <is>
          <t>Metallic Brisk Blue</t>
        </is>
      </c>
    </row>
    <row r="1330" ht="15" customHeight="1">
      <c r="A1330" s="196" t="n">
        <v>1326</v>
      </c>
      <c r="B1330" s="197" t="inlineStr">
        <is>
          <t>Maruti Suzuki</t>
        </is>
      </c>
      <c r="C1330" s="198" t="inlineStr">
        <is>
          <t>Eeco</t>
        </is>
      </c>
      <c r="D1330" s="199" t="inlineStr">
        <is>
          <t>Eeco AC (O)</t>
        </is>
      </c>
      <c r="E1330" s="200" t="inlineStr">
        <is>
          <t>Metallic Silky Silver</t>
        </is>
      </c>
    </row>
    <row r="1331" ht="15" customHeight="1">
      <c r="A1331" s="196" t="n">
        <v>1327</v>
      </c>
      <c r="B1331" s="197" t="inlineStr">
        <is>
          <t>Maruti Suzuki</t>
        </is>
      </c>
      <c r="C1331" s="198" t="inlineStr">
        <is>
          <t>Eeco</t>
        </is>
      </c>
      <c r="D1331" s="199" t="inlineStr">
        <is>
          <t>Eeco AC (O)</t>
        </is>
      </c>
      <c r="E1331" s="200" t="inlineStr">
        <is>
          <t>Solid White</t>
        </is>
      </c>
    </row>
    <row r="1332" ht="15" customHeight="1">
      <c r="A1332" s="196" t="n">
        <v>1328</v>
      </c>
      <c r="B1332" s="197" t="inlineStr">
        <is>
          <t>Maruti Suzuki</t>
        </is>
      </c>
      <c r="C1332" s="198" t="inlineStr">
        <is>
          <t>Eeco</t>
        </is>
      </c>
      <c r="D1332" s="199" t="inlineStr">
        <is>
          <t>Eeco STD (O)</t>
        </is>
      </c>
      <c r="E1332" s="200" t="inlineStr">
        <is>
          <t>Bluish Black</t>
        </is>
      </c>
    </row>
    <row r="1333" ht="15" customHeight="1">
      <c r="A1333" s="196" t="n">
        <v>1329</v>
      </c>
      <c r="B1333" s="197" t="inlineStr">
        <is>
          <t>Maruti Suzuki</t>
        </is>
      </c>
      <c r="C1333" s="198" t="inlineStr">
        <is>
          <t>Eeco</t>
        </is>
      </c>
      <c r="D1333" s="199" t="inlineStr">
        <is>
          <t>Eeco STD (O)</t>
        </is>
      </c>
      <c r="E1333" s="200" t="inlineStr">
        <is>
          <t>Metallic Brisk Blue</t>
        </is>
      </c>
    </row>
    <row r="1334" ht="15" customHeight="1">
      <c r="A1334" s="196" t="n">
        <v>1330</v>
      </c>
      <c r="B1334" s="197" t="inlineStr">
        <is>
          <t>Maruti Suzuki</t>
        </is>
      </c>
      <c r="C1334" s="198" t="inlineStr">
        <is>
          <t>Eeco</t>
        </is>
      </c>
      <c r="D1334" s="199" t="inlineStr">
        <is>
          <t>Eeco STD (O)</t>
        </is>
      </c>
      <c r="E1334" s="200" t="inlineStr">
        <is>
          <t>Metallic Silky Silver</t>
        </is>
      </c>
    </row>
    <row r="1335" ht="15" customHeight="1">
      <c r="A1335" s="196" t="n">
        <v>1331</v>
      </c>
      <c r="B1335" s="197" t="inlineStr">
        <is>
          <t>Maruti Suzuki</t>
        </is>
      </c>
      <c r="C1335" s="198" t="inlineStr">
        <is>
          <t>Eeco</t>
        </is>
      </c>
      <c r="D1335" s="199" t="inlineStr">
        <is>
          <t>Eeco STD (O)</t>
        </is>
      </c>
      <c r="E1335" s="200" t="inlineStr">
        <is>
          <t>Solid White</t>
        </is>
      </c>
    </row>
    <row r="1336" ht="15" customHeight="1">
      <c r="A1336" s="196" t="n">
        <v>1332</v>
      </c>
      <c r="B1336" s="197" t="inlineStr">
        <is>
          <t>Maruti Suzuki</t>
        </is>
      </c>
      <c r="C1336" s="198" t="inlineStr">
        <is>
          <t>Ertiga</t>
        </is>
      </c>
      <c r="D1336" s="199" t="inlineStr">
        <is>
          <t>Ertiga Lxi</t>
        </is>
      </c>
      <c r="E1336" s="200" t="inlineStr">
        <is>
          <t>Arctic White</t>
        </is>
      </c>
    </row>
    <row r="1337" ht="15" customHeight="1">
      <c r="A1337" s="196" t="n">
        <v>1333</v>
      </c>
      <c r="B1337" s="197" t="inlineStr">
        <is>
          <t>Maruti Suzuki</t>
        </is>
      </c>
      <c r="C1337" s="198" t="inlineStr">
        <is>
          <t>Ertiga</t>
        </is>
      </c>
      <c r="D1337" s="199" t="inlineStr">
        <is>
          <t>Ertiga Lxi</t>
        </is>
      </c>
      <c r="E1337" s="200" t="inlineStr">
        <is>
          <t>Auburn Red</t>
        </is>
      </c>
    </row>
    <row r="1338" ht="15" customHeight="1">
      <c r="A1338" s="196" t="n">
        <v>1334</v>
      </c>
      <c r="B1338" s="197" t="inlineStr">
        <is>
          <t>Maruti Suzuki</t>
        </is>
      </c>
      <c r="C1338" s="198" t="inlineStr">
        <is>
          <t>Ertiga</t>
        </is>
      </c>
      <c r="D1338" s="199" t="inlineStr">
        <is>
          <t>Ertiga Lxi</t>
        </is>
      </c>
      <c r="E1338" s="200" t="inlineStr">
        <is>
          <t>Magma Grey</t>
        </is>
      </c>
    </row>
    <row r="1339" ht="15" customHeight="1">
      <c r="A1339" s="196" t="n">
        <v>1335</v>
      </c>
      <c r="B1339" s="197" t="inlineStr">
        <is>
          <t>Maruti Suzuki</t>
        </is>
      </c>
      <c r="C1339" s="198" t="inlineStr">
        <is>
          <t>Ertiga</t>
        </is>
      </c>
      <c r="D1339" s="199" t="inlineStr">
        <is>
          <t>Ertiga Lxi</t>
        </is>
      </c>
      <c r="E1339" s="200" t="inlineStr">
        <is>
          <t>Pearl Metallic Dignity Brown</t>
        </is>
      </c>
    </row>
    <row r="1340" ht="15" customHeight="1">
      <c r="A1340" s="196" t="n">
        <v>1336</v>
      </c>
      <c r="B1340" s="197" t="inlineStr">
        <is>
          <t>Maruti Suzuki</t>
        </is>
      </c>
      <c r="C1340" s="198" t="inlineStr">
        <is>
          <t>Ertiga</t>
        </is>
      </c>
      <c r="D1340" s="199" t="inlineStr">
        <is>
          <t>Ertiga Lxi</t>
        </is>
      </c>
      <c r="E1340" s="200" t="inlineStr">
        <is>
          <t>Prime Oxford Blue</t>
        </is>
      </c>
    </row>
    <row r="1341" ht="15" customHeight="1">
      <c r="A1341" s="196" t="n">
        <v>1337</v>
      </c>
      <c r="B1341" s="197" t="inlineStr">
        <is>
          <t>Maruti Suzuki</t>
        </is>
      </c>
      <c r="C1341" s="198" t="inlineStr">
        <is>
          <t>Ertiga</t>
        </is>
      </c>
      <c r="D1341" s="199" t="inlineStr">
        <is>
          <t>Ertiga Lxi</t>
        </is>
      </c>
      <c r="E1341" s="200" t="inlineStr">
        <is>
          <t>Splendid Silver</t>
        </is>
      </c>
    </row>
    <row r="1342" ht="15" customHeight="1">
      <c r="A1342" s="196" t="n">
        <v>1338</v>
      </c>
      <c r="B1342" s="197" t="inlineStr">
        <is>
          <t>Maruti Suzuki</t>
        </is>
      </c>
      <c r="C1342" s="198" t="inlineStr">
        <is>
          <t>Ertiga</t>
        </is>
      </c>
      <c r="D1342" s="199" t="inlineStr">
        <is>
          <t>Ertiga VXi</t>
        </is>
      </c>
      <c r="E1342" s="200" t="inlineStr">
        <is>
          <t>Arctic White</t>
        </is>
      </c>
    </row>
    <row r="1343" ht="15" customHeight="1">
      <c r="A1343" s="196" t="n">
        <v>1339</v>
      </c>
      <c r="B1343" s="197" t="inlineStr">
        <is>
          <t>Maruti Suzuki</t>
        </is>
      </c>
      <c r="C1343" s="198" t="inlineStr">
        <is>
          <t>Ertiga</t>
        </is>
      </c>
      <c r="D1343" s="199" t="inlineStr">
        <is>
          <t>Ertiga VXi</t>
        </is>
      </c>
      <c r="E1343" s="200" t="inlineStr">
        <is>
          <t>Auburn Red</t>
        </is>
      </c>
    </row>
    <row r="1344" ht="15" customHeight="1">
      <c r="A1344" s="196" t="n">
        <v>1340</v>
      </c>
      <c r="B1344" s="197" t="inlineStr">
        <is>
          <t>Maruti Suzuki</t>
        </is>
      </c>
      <c r="C1344" s="198" t="inlineStr">
        <is>
          <t>Ertiga</t>
        </is>
      </c>
      <c r="D1344" s="199" t="inlineStr">
        <is>
          <t>Ertiga VXi</t>
        </is>
      </c>
      <c r="E1344" s="200" t="inlineStr">
        <is>
          <t>Bluish Black</t>
        </is>
      </c>
    </row>
    <row r="1345" ht="15" customHeight="1">
      <c r="A1345" s="196" t="n">
        <v>1341</v>
      </c>
      <c r="B1345" s="197" t="inlineStr">
        <is>
          <t>Maruti Suzuki</t>
        </is>
      </c>
      <c r="C1345" s="198" t="inlineStr">
        <is>
          <t>Ertiga</t>
        </is>
      </c>
      <c r="D1345" s="199" t="inlineStr">
        <is>
          <t>Ertiga VXi</t>
        </is>
      </c>
      <c r="E1345" s="200" t="inlineStr">
        <is>
          <t>Magma Grey</t>
        </is>
      </c>
    </row>
    <row r="1346" ht="15" customHeight="1">
      <c r="A1346" s="196" t="n">
        <v>1342</v>
      </c>
      <c r="B1346" s="197" t="inlineStr">
        <is>
          <t>Maruti Suzuki</t>
        </is>
      </c>
      <c r="C1346" s="198" t="inlineStr">
        <is>
          <t>Ertiga</t>
        </is>
      </c>
      <c r="D1346" s="199" t="inlineStr">
        <is>
          <t>Ertiga VXi</t>
        </is>
      </c>
      <c r="E1346" s="200" t="inlineStr">
        <is>
          <t>Pearl Metallic Dignity Brown</t>
        </is>
      </c>
    </row>
    <row r="1347" ht="15" customHeight="1">
      <c r="A1347" s="196" t="n">
        <v>1343</v>
      </c>
      <c r="B1347" s="197" t="inlineStr">
        <is>
          <t>Maruti Suzuki</t>
        </is>
      </c>
      <c r="C1347" s="198" t="inlineStr">
        <is>
          <t>Ertiga</t>
        </is>
      </c>
      <c r="D1347" s="199" t="inlineStr">
        <is>
          <t>Ertiga VXi</t>
        </is>
      </c>
      <c r="E1347" s="200" t="inlineStr">
        <is>
          <t>Prime Oxford Blue</t>
        </is>
      </c>
    </row>
    <row r="1348" ht="15" customHeight="1">
      <c r="A1348" s="196" t="n">
        <v>1344</v>
      </c>
      <c r="B1348" s="197" t="inlineStr">
        <is>
          <t>Maruti Suzuki</t>
        </is>
      </c>
      <c r="C1348" s="198" t="inlineStr">
        <is>
          <t>Ertiga</t>
        </is>
      </c>
      <c r="D1348" s="199" t="inlineStr">
        <is>
          <t>Ertiga VXi</t>
        </is>
      </c>
      <c r="E1348" s="200" t="inlineStr">
        <is>
          <t>Splendid Silver</t>
        </is>
      </c>
    </row>
    <row r="1349" ht="15" customHeight="1">
      <c r="A1349" s="196" t="n">
        <v>1345</v>
      </c>
      <c r="B1349" s="197" t="inlineStr">
        <is>
          <t>Maruti Suzuki</t>
        </is>
      </c>
      <c r="C1349" s="198" t="inlineStr">
        <is>
          <t>Ertiga</t>
        </is>
      </c>
      <c r="D1349" s="199" t="inlineStr">
        <is>
          <t>Ertiga ZXi</t>
        </is>
      </c>
      <c r="E1349" s="200" t="inlineStr">
        <is>
          <t>Arctic White</t>
        </is>
      </c>
    </row>
    <row r="1350" ht="15" customHeight="1">
      <c r="A1350" s="196" t="n">
        <v>1346</v>
      </c>
      <c r="B1350" s="197" t="inlineStr">
        <is>
          <t>Maruti Suzuki</t>
        </is>
      </c>
      <c r="C1350" s="198" t="inlineStr">
        <is>
          <t>Ertiga</t>
        </is>
      </c>
      <c r="D1350" s="199" t="inlineStr">
        <is>
          <t>Ertiga ZXi</t>
        </is>
      </c>
      <c r="E1350" s="200" t="inlineStr">
        <is>
          <t>Auburn Red</t>
        </is>
      </c>
    </row>
    <row r="1351" ht="15" customHeight="1">
      <c r="A1351" s="196" t="n">
        <v>1347</v>
      </c>
      <c r="B1351" s="197" t="inlineStr">
        <is>
          <t>Maruti Suzuki</t>
        </is>
      </c>
      <c r="C1351" s="198" t="inlineStr">
        <is>
          <t>Ertiga</t>
        </is>
      </c>
      <c r="D1351" s="199" t="inlineStr">
        <is>
          <t>Ertiga ZXi</t>
        </is>
      </c>
      <c r="E1351" s="200" t="inlineStr">
        <is>
          <t>Magma Grey</t>
        </is>
      </c>
    </row>
    <row r="1352" ht="15" customHeight="1">
      <c r="A1352" s="196" t="n">
        <v>1348</v>
      </c>
      <c r="B1352" s="197" t="inlineStr">
        <is>
          <t>Maruti Suzuki</t>
        </is>
      </c>
      <c r="C1352" s="198" t="inlineStr">
        <is>
          <t>Ertiga</t>
        </is>
      </c>
      <c r="D1352" s="199" t="inlineStr">
        <is>
          <t>Ertiga ZXi</t>
        </is>
      </c>
      <c r="E1352" s="200" t="inlineStr">
        <is>
          <t>Pearl Metallic Dignity Brown</t>
        </is>
      </c>
    </row>
    <row r="1353" ht="15" customHeight="1">
      <c r="A1353" s="196" t="n">
        <v>1349</v>
      </c>
      <c r="B1353" s="197" t="inlineStr">
        <is>
          <t>Maruti Suzuki</t>
        </is>
      </c>
      <c r="C1353" s="198" t="inlineStr">
        <is>
          <t>Ertiga</t>
        </is>
      </c>
      <c r="D1353" s="199" t="inlineStr">
        <is>
          <t>Ertiga ZXi</t>
        </is>
      </c>
      <c r="E1353" s="200" t="inlineStr">
        <is>
          <t>Prime Oxford Blue</t>
        </is>
      </c>
    </row>
    <row r="1354" ht="15" customHeight="1">
      <c r="A1354" s="196" t="n">
        <v>1350</v>
      </c>
      <c r="B1354" s="197" t="inlineStr">
        <is>
          <t>Maruti Suzuki</t>
        </is>
      </c>
      <c r="C1354" s="198" t="inlineStr">
        <is>
          <t>Ertiga</t>
        </is>
      </c>
      <c r="D1354" s="199" t="inlineStr">
        <is>
          <t>Ertiga ZXi</t>
        </is>
      </c>
      <c r="E1354" s="200" t="inlineStr">
        <is>
          <t>Splendid Silver</t>
        </is>
      </c>
    </row>
    <row r="1355" ht="15" customHeight="1">
      <c r="A1355" s="196" t="n">
        <v>1351</v>
      </c>
      <c r="B1355" s="197" t="inlineStr">
        <is>
          <t>Maruti Suzuki</t>
        </is>
      </c>
      <c r="C1355" s="198" t="inlineStr">
        <is>
          <t>Ertiga</t>
        </is>
      </c>
      <c r="D1355" s="199" t="inlineStr">
        <is>
          <t>Ertiga ZXi Plus</t>
        </is>
      </c>
      <c r="E1355" s="200" t="inlineStr">
        <is>
          <t>Arctic White</t>
        </is>
      </c>
    </row>
    <row r="1356" ht="15" customHeight="1">
      <c r="A1356" s="196" t="n">
        <v>1352</v>
      </c>
      <c r="B1356" s="197" t="inlineStr">
        <is>
          <t>Maruti Suzuki</t>
        </is>
      </c>
      <c r="C1356" s="198" t="inlineStr">
        <is>
          <t>Ertiga</t>
        </is>
      </c>
      <c r="D1356" s="199" t="inlineStr">
        <is>
          <t>Ertiga ZXi Plus</t>
        </is>
      </c>
      <c r="E1356" s="200" t="inlineStr">
        <is>
          <t>Auburn Red</t>
        </is>
      </c>
    </row>
    <row r="1357" ht="15" customHeight="1">
      <c r="A1357" s="196" t="n">
        <v>1353</v>
      </c>
      <c r="B1357" s="197" t="inlineStr">
        <is>
          <t>Maruti Suzuki</t>
        </is>
      </c>
      <c r="C1357" s="198" t="inlineStr">
        <is>
          <t>Ertiga</t>
        </is>
      </c>
      <c r="D1357" s="199" t="inlineStr">
        <is>
          <t>Ertiga ZXi Plus</t>
        </is>
      </c>
      <c r="E1357" s="200" t="inlineStr">
        <is>
          <t>Magma Grey</t>
        </is>
      </c>
    </row>
    <row r="1358" ht="15" customHeight="1">
      <c r="A1358" s="196" t="n">
        <v>1354</v>
      </c>
      <c r="B1358" s="197" t="inlineStr">
        <is>
          <t>Maruti Suzuki</t>
        </is>
      </c>
      <c r="C1358" s="198" t="inlineStr">
        <is>
          <t>Ertiga</t>
        </is>
      </c>
      <c r="D1358" s="199" t="inlineStr">
        <is>
          <t>Ertiga ZXi Plus</t>
        </is>
      </c>
      <c r="E1358" s="200" t="inlineStr">
        <is>
          <t>Pearl Metallic Dignity Brown</t>
        </is>
      </c>
    </row>
    <row r="1359" ht="15" customHeight="1">
      <c r="A1359" s="196" t="n">
        <v>1355</v>
      </c>
      <c r="B1359" s="197" t="inlineStr">
        <is>
          <t>Maruti Suzuki</t>
        </is>
      </c>
      <c r="C1359" s="198" t="inlineStr">
        <is>
          <t>Ertiga</t>
        </is>
      </c>
      <c r="D1359" s="199" t="inlineStr">
        <is>
          <t>Ertiga ZXi Plus</t>
        </is>
      </c>
      <c r="E1359" s="200" t="inlineStr">
        <is>
          <t>Prime Oxford Blue</t>
        </is>
      </c>
    </row>
    <row r="1360" ht="15" customHeight="1">
      <c r="A1360" s="196" t="n">
        <v>1356</v>
      </c>
      <c r="B1360" s="197" t="inlineStr">
        <is>
          <t>Maruti Suzuki</t>
        </is>
      </c>
      <c r="C1360" s="198" t="inlineStr">
        <is>
          <t>Ertiga</t>
        </is>
      </c>
      <c r="D1360" s="199" t="inlineStr">
        <is>
          <t>Ertiga ZXi Plus</t>
        </is>
      </c>
      <c r="E1360" s="200" t="inlineStr">
        <is>
          <t>Splendid Silver</t>
        </is>
      </c>
    </row>
    <row r="1361" ht="15" customHeight="1">
      <c r="A1361" s="196" t="n">
        <v>1357</v>
      </c>
      <c r="B1361" s="197" t="inlineStr">
        <is>
          <t>Maruti Suzuki</t>
        </is>
      </c>
      <c r="C1361" s="198" t="inlineStr">
        <is>
          <t>Fronx</t>
        </is>
      </c>
      <c r="D1361" s="199" t="inlineStr">
        <is>
          <t>Fronx Alpha</t>
        </is>
      </c>
      <c r="E1361" s="200" t="inlineStr">
        <is>
          <t>Arctic White</t>
        </is>
      </c>
    </row>
    <row r="1362" ht="15" customHeight="1">
      <c r="A1362" s="196" t="n">
        <v>1358</v>
      </c>
      <c r="B1362" s="197" t="inlineStr">
        <is>
          <t>Maruti Suzuki</t>
        </is>
      </c>
      <c r="C1362" s="198" t="inlineStr">
        <is>
          <t>Fronx</t>
        </is>
      </c>
      <c r="D1362" s="199" t="inlineStr">
        <is>
          <t>Fronx Alpha</t>
        </is>
      </c>
      <c r="E1362" s="200" t="inlineStr">
        <is>
          <t>Earthen Brown</t>
        </is>
      </c>
    </row>
    <row r="1363" ht="15" customHeight="1">
      <c r="A1363" s="196" t="n">
        <v>1359</v>
      </c>
      <c r="B1363" s="197" t="inlineStr">
        <is>
          <t>Maruti Suzuki</t>
        </is>
      </c>
      <c r="C1363" s="198" t="inlineStr">
        <is>
          <t>Fronx</t>
        </is>
      </c>
      <c r="D1363" s="199" t="inlineStr">
        <is>
          <t>Fronx Alpha</t>
        </is>
      </c>
      <c r="E1363" s="200" t="inlineStr">
        <is>
          <t>Grandeur Grey</t>
        </is>
      </c>
    </row>
    <row r="1364" ht="15" customHeight="1">
      <c r="A1364" s="196" t="n">
        <v>1360</v>
      </c>
      <c r="B1364" s="197" t="inlineStr">
        <is>
          <t>Maruti Suzuki</t>
        </is>
      </c>
      <c r="C1364" s="198" t="inlineStr">
        <is>
          <t>Fronx</t>
        </is>
      </c>
      <c r="D1364" s="199" t="inlineStr">
        <is>
          <t>Fronx Alpha</t>
        </is>
      </c>
      <c r="E1364" s="200" t="inlineStr">
        <is>
          <t>Nexa Blue (Celestial)</t>
        </is>
      </c>
    </row>
    <row r="1365" ht="15" customHeight="1">
      <c r="A1365" s="196" t="n">
        <v>1361</v>
      </c>
      <c r="B1365" s="197" t="inlineStr">
        <is>
          <t>Maruti Suzuki</t>
        </is>
      </c>
      <c r="C1365" s="198" t="inlineStr">
        <is>
          <t>Fronx</t>
        </is>
      </c>
      <c r="D1365" s="199" t="inlineStr">
        <is>
          <t>Fronx Alpha</t>
        </is>
      </c>
      <c r="E1365" s="200" t="inlineStr">
        <is>
          <t>Opulent Red</t>
        </is>
      </c>
    </row>
    <row r="1366" ht="15" customHeight="1">
      <c r="A1366" s="196" t="n">
        <v>1362</v>
      </c>
      <c r="B1366" s="197" t="inlineStr">
        <is>
          <t>Maruti Suzuki</t>
        </is>
      </c>
      <c r="C1366" s="198" t="inlineStr">
        <is>
          <t>Fronx</t>
        </is>
      </c>
      <c r="D1366" s="199" t="inlineStr">
        <is>
          <t>Fronx Alpha</t>
        </is>
      </c>
      <c r="E1366" s="200" t="inlineStr">
        <is>
          <t>Splendid Silver</t>
        </is>
      </c>
    </row>
    <row r="1367" ht="15" customHeight="1">
      <c r="A1367" s="196" t="n">
        <v>1363</v>
      </c>
      <c r="B1367" s="197" t="inlineStr">
        <is>
          <t>Maruti Suzuki</t>
        </is>
      </c>
      <c r="C1367" s="198" t="inlineStr">
        <is>
          <t>Fronx</t>
        </is>
      </c>
      <c r="D1367" s="199" t="inlineStr">
        <is>
          <t>Fronx Delta</t>
        </is>
      </c>
      <c r="E1367" s="200" t="inlineStr">
        <is>
          <t>Arctic White</t>
        </is>
      </c>
    </row>
    <row r="1368" ht="15" customHeight="1">
      <c r="A1368" s="196" t="n">
        <v>1364</v>
      </c>
      <c r="B1368" s="197" t="inlineStr">
        <is>
          <t>Maruti Suzuki</t>
        </is>
      </c>
      <c r="C1368" s="198" t="inlineStr">
        <is>
          <t>Fronx</t>
        </is>
      </c>
      <c r="D1368" s="199" t="inlineStr">
        <is>
          <t>Fronx Delta</t>
        </is>
      </c>
      <c r="E1368" s="200" t="inlineStr">
        <is>
          <t>Earthen Brown</t>
        </is>
      </c>
    </row>
    <row r="1369" ht="15" customHeight="1">
      <c r="A1369" s="196" t="n">
        <v>1365</v>
      </c>
      <c r="B1369" s="197" t="inlineStr">
        <is>
          <t>Maruti Suzuki</t>
        </is>
      </c>
      <c r="C1369" s="198" t="inlineStr">
        <is>
          <t>Fronx</t>
        </is>
      </c>
      <c r="D1369" s="199" t="inlineStr">
        <is>
          <t>Fronx Delta</t>
        </is>
      </c>
      <c r="E1369" s="200" t="inlineStr">
        <is>
          <t>Grandeur Grey</t>
        </is>
      </c>
    </row>
    <row r="1370" ht="15" customHeight="1">
      <c r="A1370" s="196" t="n">
        <v>1366</v>
      </c>
      <c r="B1370" s="197" t="inlineStr">
        <is>
          <t>Maruti Suzuki</t>
        </is>
      </c>
      <c r="C1370" s="198" t="inlineStr">
        <is>
          <t>Fronx</t>
        </is>
      </c>
      <c r="D1370" s="199" t="inlineStr">
        <is>
          <t>Fronx Delta</t>
        </is>
      </c>
      <c r="E1370" s="200" t="inlineStr">
        <is>
          <t>Nexa Blue (Celestial)</t>
        </is>
      </c>
    </row>
    <row r="1371" ht="15" customHeight="1">
      <c r="A1371" s="196" t="n">
        <v>1367</v>
      </c>
      <c r="B1371" s="197" t="inlineStr">
        <is>
          <t>Maruti Suzuki</t>
        </is>
      </c>
      <c r="C1371" s="198" t="inlineStr">
        <is>
          <t>Fronx</t>
        </is>
      </c>
      <c r="D1371" s="199" t="inlineStr">
        <is>
          <t>Fronx Delta</t>
        </is>
      </c>
      <c r="E1371" s="200" t="inlineStr">
        <is>
          <t>Opulent Red</t>
        </is>
      </c>
    </row>
    <row r="1372" ht="15" customHeight="1">
      <c r="A1372" s="196" t="n">
        <v>1368</v>
      </c>
      <c r="B1372" s="197" t="inlineStr">
        <is>
          <t>Maruti Suzuki</t>
        </is>
      </c>
      <c r="C1372" s="198" t="inlineStr">
        <is>
          <t>Fronx</t>
        </is>
      </c>
      <c r="D1372" s="199" t="inlineStr">
        <is>
          <t>Fronx Delta</t>
        </is>
      </c>
      <c r="E1372" s="200" t="inlineStr">
        <is>
          <t>Splendid Silver</t>
        </is>
      </c>
    </row>
    <row r="1373" ht="15" customHeight="1">
      <c r="A1373" s="196" t="n">
        <v>1369</v>
      </c>
      <c r="B1373" s="197" t="inlineStr">
        <is>
          <t>Maruti Suzuki</t>
        </is>
      </c>
      <c r="C1373" s="198" t="inlineStr">
        <is>
          <t>Fronx</t>
        </is>
      </c>
      <c r="D1373" s="199" t="inlineStr">
        <is>
          <t>Fronx Delta Plus</t>
        </is>
      </c>
      <c r="E1373" s="200" t="inlineStr">
        <is>
          <t>Arctic White</t>
        </is>
      </c>
    </row>
    <row r="1374" ht="15" customHeight="1">
      <c r="A1374" s="196" t="n">
        <v>1370</v>
      </c>
      <c r="B1374" s="197" t="inlineStr">
        <is>
          <t>Maruti Suzuki</t>
        </is>
      </c>
      <c r="C1374" s="198" t="inlineStr">
        <is>
          <t>Fronx</t>
        </is>
      </c>
      <c r="D1374" s="199" t="inlineStr">
        <is>
          <t>Fronx Delta Plus</t>
        </is>
      </c>
      <c r="E1374" s="200" t="inlineStr">
        <is>
          <t>Earthen Brown</t>
        </is>
      </c>
    </row>
    <row r="1375" ht="15" customHeight="1">
      <c r="A1375" s="196" t="n">
        <v>1371</v>
      </c>
      <c r="B1375" s="197" t="inlineStr">
        <is>
          <t>Maruti Suzuki</t>
        </is>
      </c>
      <c r="C1375" s="198" t="inlineStr">
        <is>
          <t>Fronx</t>
        </is>
      </c>
      <c r="D1375" s="199" t="inlineStr">
        <is>
          <t>Fronx Delta Plus</t>
        </is>
      </c>
      <c r="E1375" s="200" t="inlineStr">
        <is>
          <t>Grandeur Grey</t>
        </is>
      </c>
    </row>
    <row r="1376" ht="15" customHeight="1">
      <c r="A1376" s="196" t="n">
        <v>1372</v>
      </c>
      <c r="B1376" s="197" t="inlineStr">
        <is>
          <t>Maruti Suzuki</t>
        </is>
      </c>
      <c r="C1376" s="198" t="inlineStr">
        <is>
          <t>Fronx</t>
        </is>
      </c>
      <c r="D1376" s="199" t="inlineStr">
        <is>
          <t>Fronx Delta Plus</t>
        </is>
      </c>
      <c r="E1376" s="200" t="inlineStr">
        <is>
          <t>Nexa Blue (Celestial)</t>
        </is>
      </c>
    </row>
    <row r="1377" ht="15" customHeight="1">
      <c r="A1377" s="196" t="n">
        <v>1373</v>
      </c>
      <c r="B1377" s="197" t="inlineStr">
        <is>
          <t>Maruti Suzuki</t>
        </is>
      </c>
      <c r="C1377" s="198" t="inlineStr">
        <is>
          <t>Fronx</t>
        </is>
      </c>
      <c r="D1377" s="199" t="inlineStr">
        <is>
          <t>Fronx Delta Plus</t>
        </is>
      </c>
      <c r="E1377" s="200" t="inlineStr">
        <is>
          <t>Opulent Red</t>
        </is>
      </c>
    </row>
    <row r="1378" ht="15" customHeight="1">
      <c r="A1378" s="196" t="n">
        <v>1374</v>
      </c>
      <c r="B1378" s="197" t="inlineStr">
        <is>
          <t>Maruti Suzuki</t>
        </is>
      </c>
      <c r="C1378" s="198" t="inlineStr">
        <is>
          <t>Fronx</t>
        </is>
      </c>
      <c r="D1378" s="199" t="inlineStr">
        <is>
          <t>Fronx Delta Plus</t>
        </is>
      </c>
      <c r="E1378" s="200" t="inlineStr">
        <is>
          <t>Splendid Silver</t>
        </is>
      </c>
    </row>
    <row r="1379" ht="15" customHeight="1">
      <c r="A1379" s="196" t="n">
        <v>1375</v>
      </c>
      <c r="B1379" s="197" t="inlineStr">
        <is>
          <t>Maruti Suzuki</t>
        </is>
      </c>
      <c r="C1379" s="198" t="inlineStr">
        <is>
          <t>Fronx</t>
        </is>
      </c>
      <c r="D1379" s="199" t="inlineStr">
        <is>
          <t>Fronx Sigma</t>
        </is>
      </c>
      <c r="E1379" s="200" t="inlineStr">
        <is>
          <t>Arctic White</t>
        </is>
      </c>
    </row>
    <row r="1380" ht="15" customHeight="1">
      <c r="A1380" s="196" t="n">
        <v>1376</v>
      </c>
      <c r="B1380" s="197" t="inlineStr">
        <is>
          <t>Maruti Suzuki</t>
        </is>
      </c>
      <c r="C1380" s="198" t="inlineStr">
        <is>
          <t>Fronx</t>
        </is>
      </c>
      <c r="D1380" s="199" t="inlineStr">
        <is>
          <t>Fronx Sigma</t>
        </is>
      </c>
      <c r="E1380" s="200" t="inlineStr">
        <is>
          <t>Earthen Brown</t>
        </is>
      </c>
    </row>
    <row r="1381" ht="15" customHeight="1">
      <c r="A1381" s="196" t="n">
        <v>1377</v>
      </c>
      <c r="B1381" s="197" t="inlineStr">
        <is>
          <t>Maruti Suzuki</t>
        </is>
      </c>
      <c r="C1381" s="198" t="inlineStr">
        <is>
          <t>Fronx</t>
        </is>
      </c>
      <c r="D1381" s="199" t="inlineStr">
        <is>
          <t>Fronx Sigma</t>
        </is>
      </c>
      <c r="E1381" s="200" t="inlineStr">
        <is>
          <t>Grandeur Grey</t>
        </is>
      </c>
    </row>
    <row r="1382" ht="15" customHeight="1">
      <c r="A1382" s="196" t="n">
        <v>1378</v>
      </c>
      <c r="B1382" s="197" t="inlineStr">
        <is>
          <t>Maruti Suzuki</t>
        </is>
      </c>
      <c r="C1382" s="198" t="inlineStr">
        <is>
          <t>Fronx</t>
        </is>
      </c>
      <c r="D1382" s="199" t="inlineStr">
        <is>
          <t>Fronx Sigma</t>
        </is>
      </c>
      <c r="E1382" s="200" t="inlineStr">
        <is>
          <t>Nexa Blue (Celestial)</t>
        </is>
      </c>
    </row>
    <row r="1383" ht="15" customHeight="1">
      <c r="A1383" s="196" t="n">
        <v>1379</v>
      </c>
      <c r="B1383" s="197" t="inlineStr">
        <is>
          <t>Maruti Suzuki</t>
        </is>
      </c>
      <c r="C1383" s="198" t="inlineStr">
        <is>
          <t>Fronx</t>
        </is>
      </c>
      <c r="D1383" s="199" t="inlineStr">
        <is>
          <t>Fronx Sigma</t>
        </is>
      </c>
      <c r="E1383" s="200" t="inlineStr">
        <is>
          <t>Opulent Red</t>
        </is>
      </c>
    </row>
    <row r="1384" ht="15" customHeight="1">
      <c r="A1384" s="196" t="n">
        <v>1380</v>
      </c>
      <c r="B1384" s="197" t="inlineStr">
        <is>
          <t>Maruti Suzuki</t>
        </is>
      </c>
      <c r="C1384" s="198" t="inlineStr">
        <is>
          <t>Fronx</t>
        </is>
      </c>
      <c r="D1384" s="199" t="inlineStr">
        <is>
          <t>Fronx Sigma</t>
        </is>
      </c>
      <c r="E1384" s="200" t="inlineStr">
        <is>
          <t>Splendid Silver</t>
        </is>
      </c>
    </row>
    <row r="1385" ht="15" customHeight="1">
      <c r="A1385" s="196" t="n">
        <v>1381</v>
      </c>
      <c r="B1385" s="197" t="inlineStr">
        <is>
          <t>Maruti Suzuki</t>
        </is>
      </c>
      <c r="C1385" s="198" t="inlineStr">
        <is>
          <t>Fronx</t>
        </is>
      </c>
      <c r="D1385" s="199" t="inlineStr">
        <is>
          <t>Fronx Zeta</t>
        </is>
      </c>
      <c r="E1385" s="200" t="inlineStr">
        <is>
          <t>Arctic White</t>
        </is>
      </c>
    </row>
    <row r="1386" ht="15" customHeight="1">
      <c r="A1386" s="196" t="n">
        <v>1382</v>
      </c>
      <c r="B1386" s="197" t="inlineStr">
        <is>
          <t>Maruti Suzuki</t>
        </is>
      </c>
      <c r="C1386" s="198" t="inlineStr">
        <is>
          <t>Fronx</t>
        </is>
      </c>
      <c r="D1386" s="199" t="inlineStr">
        <is>
          <t>Fronx Zeta</t>
        </is>
      </c>
      <c r="E1386" s="200" t="inlineStr">
        <is>
          <t>Earthen Brown</t>
        </is>
      </c>
    </row>
    <row r="1387" ht="15" customHeight="1">
      <c r="A1387" s="196" t="n">
        <v>1383</v>
      </c>
      <c r="B1387" s="197" t="inlineStr">
        <is>
          <t>Maruti Suzuki</t>
        </is>
      </c>
      <c r="C1387" s="198" t="inlineStr">
        <is>
          <t>Fronx</t>
        </is>
      </c>
      <c r="D1387" s="199" t="inlineStr">
        <is>
          <t>Fronx Zeta</t>
        </is>
      </c>
      <c r="E1387" s="200" t="inlineStr">
        <is>
          <t>Grandeur Grey</t>
        </is>
      </c>
    </row>
    <row r="1388" ht="15" customHeight="1">
      <c r="A1388" s="196" t="n">
        <v>1384</v>
      </c>
      <c r="B1388" s="197" t="inlineStr">
        <is>
          <t>Maruti Suzuki</t>
        </is>
      </c>
      <c r="C1388" s="198" t="inlineStr">
        <is>
          <t>Fronx</t>
        </is>
      </c>
      <c r="D1388" s="199" t="inlineStr">
        <is>
          <t>Fronx Zeta</t>
        </is>
      </c>
      <c r="E1388" s="200" t="inlineStr">
        <is>
          <t>Nexa Blue (Celestial)</t>
        </is>
      </c>
    </row>
    <row r="1389" ht="15" customHeight="1">
      <c r="A1389" s="196" t="n">
        <v>1385</v>
      </c>
      <c r="B1389" s="197" t="inlineStr">
        <is>
          <t>Maruti Suzuki</t>
        </is>
      </c>
      <c r="C1389" s="198" t="inlineStr">
        <is>
          <t>Fronx</t>
        </is>
      </c>
      <c r="D1389" s="199" t="inlineStr">
        <is>
          <t>Fronx Zeta</t>
        </is>
      </c>
      <c r="E1389" s="200" t="inlineStr">
        <is>
          <t>Opulent Red</t>
        </is>
      </c>
    </row>
    <row r="1390" ht="15" customHeight="1">
      <c r="A1390" s="196" t="n">
        <v>1386</v>
      </c>
      <c r="B1390" s="197" t="inlineStr">
        <is>
          <t>Maruti Suzuki</t>
        </is>
      </c>
      <c r="C1390" s="198" t="inlineStr">
        <is>
          <t>Fronx</t>
        </is>
      </c>
      <c r="D1390" s="199" t="inlineStr">
        <is>
          <t>Fronx Zeta</t>
        </is>
      </c>
      <c r="E1390" s="200" t="inlineStr">
        <is>
          <t>Splendid Silver</t>
        </is>
      </c>
    </row>
    <row r="1391" ht="15" customHeight="1">
      <c r="A1391" s="196" t="n">
        <v>1387</v>
      </c>
      <c r="B1391" s="197" t="inlineStr">
        <is>
          <t>Maruti Suzuki</t>
        </is>
      </c>
      <c r="C1391" s="198" t="inlineStr">
        <is>
          <t>Grand Vitara</t>
        </is>
      </c>
      <c r="D1391" s="199" t="inlineStr">
        <is>
          <t>Grand Vitara Alpha</t>
        </is>
      </c>
      <c r="E1391" s="200" t="inlineStr">
        <is>
          <t>Arctic White</t>
        </is>
      </c>
    </row>
    <row r="1392" ht="15" customHeight="1">
      <c r="A1392" s="196" t="n">
        <v>1388</v>
      </c>
      <c r="B1392" s="197" t="inlineStr">
        <is>
          <t>Maruti Suzuki</t>
        </is>
      </c>
      <c r="C1392" s="198" t="inlineStr">
        <is>
          <t>Grand Vitara</t>
        </is>
      </c>
      <c r="D1392" s="199" t="inlineStr">
        <is>
          <t>Grand Vitara Alpha</t>
        </is>
      </c>
      <c r="E1392" s="200" t="inlineStr">
        <is>
          <t>Chestnut Brown</t>
        </is>
      </c>
    </row>
    <row r="1393" ht="15" customHeight="1">
      <c r="A1393" s="196" t="n">
        <v>1389</v>
      </c>
      <c r="B1393" s="197" t="inlineStr">
        <is>
          <t>Maruti Suzuki</t>
        </is>
      </c>
      <c r="C1393" s="198" t="inlineStr">
        <is>
          <t>Grand Vitara</t>
        </is>
      </c>
      <c r="D1393" s="199" t="inlineStr">
        <is>
          <t>Grand Vitara Alpha</t>
        </is>
      </c>
      <c r="E1393" s="200" t="inlineStr">
        <is>
          <t>Grandeur Grey</t>
        </is>
      </c>
    </row>
    <row r="1394" ht="15" customHeight="1">
      <c r="A1394" s="196" t="n">
        <v>1390</v>
      </c>
      <c r="B1394" s="197" t="inlineStr">
        <is>
          <t>Maruti Suzuki</t>
        </is>
      </c>
      <c r="C1394" s="198" t="inlineStr">
        <is>
          <t>Grand Vitara</t>
        </is>
      </c>
      <c r="D1394" s="199" t="inlineStr">
        <is>
          <t>Grand Vitara Alpha</t>
        </is>
      </c>
      <c r="E1394" s="200" t="inlineStr">
        <is>
          <t>Midnight Black</t>
        </is>
      </c>
    </row>
    <row r="1395" ht="15" customHeight="1">
      <c r="A1395" s="196" t="n">
        <v>1391</v>
      </c>
      <c r="B1395" s="197" t="inlineStr">
        <is>
          <t>Maruti Suzuki</t>
        </is>
      </c>
      <c r="C1395" s="198" t="inlineStr">
        <is>
          <t>Grand Vitara</t>
        </is>
      </c>
      <c r="D1395" s="199" t="inlineStr">
        <is>
          <t>Grand Vitara Alpha</t>
        </is>
      </c>
      <c r="E1395" s="200" t="inlineStr">
        <is>
          <t>Nexa Blue</t>
        </is>
      </c>
    </row>
    <row r="1396" ht="15" customHeight="1">
      <c r="A1396" s="196" t="n">
        <v>1392</v>
      </c>
      <c r="B1396" s="197" t="inlineStr">
        <is>
          <t>Maruti Suzuki</t>
        </is>
      </c>
      <c r="C1396" s="198" t="inlineStr">
        <is>
          <t>Grand Vitara</t>
        </is>
      </c>
      <c r="D1396" s="199" t="inlineStr">
        <is>
          <t>Grand Vitara Alpha</t>
        </is>
      </c>
      <c r="E1396" s="200" t="inlineStr">
        <is>
          <t>Opulent Red</t>
        </is>
      </c>
    </row>
    <row r="1397" ht="15" customHeight="1">
      <c r="A1397" s="196" t="n">
        <v>1393</v>
      </c>
      <c r="B1397" s="197" t="inlineStr">
        <is>
          <t>Maruti Suzuki</t>
        </is>
      </c>
      <c r="C1397" s="198" t="inlineStr">
        <is>
          <t>Grand Vitara</t>
        </is>
      </c>
      <c r="D1397" s="199" t="inlineStr">
        <is>
          <t>Grand Vitara Alpha</t>
        </is>
      </c>
      <c r="E1397" s="200" t="inlineStr">
        <is>
          <t>Splendid Silver</t>
        </is>
      </c>
    </row>
    <row r="1398" ht="15" customHeight="1">
      <c r="A1398" s="196" t="n">
        <v>1394</v>
      </c>
      <c r="B1398" s="197" t="inlineStr">
        <is>
          <t>Maruti Suzuki</t>
        </is>
      </c>
      <c r="C1398" s="198" t="inlineStr">
        <is>
          <t>Grand Vitara</t>
        </is>
      </c>
      <c r="D1398" s="199" t="inlineStr">
        <is>
          <t>Grand Vitara Alpha (O)</t>
        </is>
      </c>
      <c r="E1398" s="200" t="inlineStr">
        <is>
          <t>Arctic White</t>
        </is>
      </c>
    </row>
    <row r="1399" ht="15" customHeight="1">
      <c r="A1399" s="196" t="n">
        <v>1395</v>
      </c>
      <c r="B1399" s="197" t="inlineStr">
        <is>
          <t>Maruti Suzuki</t>
        </is>
      </c>
      <c r="C1399" s="198" t="inlineStr">
        <is>
          <t>Grand Vitara</t>
        </is>
      </c>
      <c r="D1399" s="199" t="inlineStr">
        <is>
          <t>Grand Vitara Alpha (O)</t>
        </is>
      </c>
      <c r="E1399" s="200" t="inlineStr">
        <is>
          <t>Chestnut Brown</t>
        </is>
      </c>
    </row>
    <row r="1400" ht="15" customHeight="1">
      <c r="A1400" s="196" t="n">
        <v>1396</v>
      </c>
      <c r="B1400" s="197" t="inlineStr">
        <is>
          <t>Maruti Suzuki</t>
        </is>
      </c>
      <c r="C1400" s="198" t="inlineStr">
        <is>
          <t>Grand Vitara</t>
        </is>
      </c>
      <c r="D1400" s="199" t="inlineStr">
        <is>
          <t>Grand Vitara Alpha (O)</t>
        </is>
      </c>
      <c r="E1400" s="200" t="inlineStr">
        <is>
          <t>Grandeur Grey</t>
        </is>
      </c>
    </row>
    <row r="1401" ht="15" customHeight="1">
      <c r="A1401" s="196" t="n">
        <v>1397</v>
      </c>
      <c r="B1401" s="197" t="inlineStr">
        <is>
          <t>Maruti Suzuki</t>
        </is>
      </c>
      <c r="C1401" s="198" t="inlineStr">
        <is>
          <t>Grand Vitara</t>
        </is>
      </c>
      <c r="D1401" s="199" t="inlineStr">
        <is>
          <t>Grand Vitara Alpha (O)</t>
        </is>
      </c>
      <c r="E1401" s="200" t="inlineStr">
        <is>
          <t>Midnight Black</t>
        </is>
      </c>
    </row>
    <row r="1402" ht="15" customHeight="1">
      <c r="A1402" s="196" t="n">
        <v>1398</v>
      </c>
      <c r="B1402" s="197" t="inlineStr">
        <is>
          <t>Maruti Suzuki</t>
        </is>
      </c>
      <c r="C1402" s="198" t="inlineStr">
        <is>
          <t>Grand Vitara</t>
        </is>
      </c>
      <c r="D1402" s="199" t="inlineStr">
        <is>
          <t>Grand Vitara Alpha (O)</t>
        </is>
      </c>
      <c r="E1402" s="200" t="inlineStr">
        <is>
          <t>Nexa Blue</t>
        </is>
      </c>
    </row>
    <row r="1403" ht="15" customHeight="1">
      <c r="A1403" s="196" t="n">
        <v>1399</v>
      </c>
      <c r="B1403" s="197" t="inlineStr">
        <is>
          <t>Maruti Suzuki</t>
        </is>
      </c>
      <c r="C1403" s="198" t="inlineStr">
        <is>
          <t>Grand Vitara</t>
        </is>
      </c>
      <c r="D1403" s="199" t="inlineStr">
        <is>
          <t>Grand Vitara Alpha (O)</t>
        </is>
      </c>
      <c r="E1403" s="200" t="inlineStr">
        <is>
          <t>Opulent Red</t>
        </is>
      </c>
    </row>
    <row r="1404" ht="15" customHeight="1">
      <c r="A1404" s="196" t="n">
        <v>1400</v>
      </c>
      <c r="B1404" s="197" t="inlineStr">
        <is>
          <t>Maruti Suzuki</t>
        </is>
      </c>
      <c r="C1404" s="198" t="inlineStr">
        <is>
          <t>Grand Vitara</t>
        </is>
      </c>
      <c r="D1404" s="199" t="inlineStr">
        <is>
          <t>Grand Vitara Alpha (O)</t>
        </is>
      </c>
      <c r="E1404" s="200" t="inlineStr">
        <is>
          <t>Splendid Silver</t>
        </is>
      </c>
    </row>
    <row r="1405" ht="15" customHeight="1">
      <c r="A1405" s="196" t="n">
        <v>1401</v>
      </c>
      <c r="B1405" s="197" t="inlineStr">
        <is>
          <t>Maruti Suzuki</t>
        </is>
      </c>
      <c r="C1405" s="198" t="inlineStr">
        <is>
          <t>Grand Vitara</t>
        </is>
      </c>
      <c r="D1405" s="199" t="inlineStr">
        <is>
          <t>Grand Vitara Alpha Plus</t>
        </is>
      </c>
      <c r="E1405" s="200" t="inlineStr">
        <is>
          <t>Arctic White</t>
        </is>
      </c>
    </row>
    <row r="1406" ht="15" customHeight="1">
      <c r="A1406" s="196" t="n">
        <v>1402</v>
      </c>
      <c r="B1406" s="197" t="inlineStr">
        <is>
          <t>Maruti Suzuki</t>
        </is>
      </c>
      <c r="C1406" s="198" t="inlineStr">
        <is>
          <t>Grand Vitara</t>
        </is>
      </c>
      <c r="D1406" s="199" t="inlineStr">
        <is>
          <t>Grand Vitara Alpha Plus</t>
        </is>
      </c>
      <c r="E1406" s="200" t="inlineStr">
        <is>
          <t>Chestnut Brown</t>
        </is>
      </c>
    </row>
    <row r="1407" ht="15" customHeight="1">
      <c r="A1407" s="196" t="n">
        <v>1403</v>
      </c>
      <c r="B1407" s="197" t="inlineStr">
        <is>
          <t>Maruti Suzuki</t>
        </is>
      </c>
      <c r="C1407" s="198" t="inlineStr">
        <is>
          <t>Grand Vitara</t>
        </is>
      </c>
      <c r="D1407" s="199" t="inlineStr">
        <is>
          <t>Grand Vitara Alpha Plus</t>
        </is>
      </c>
      <c r="E1407" s="200" t="inlineStr">
        <is>
          <t>Grandeur Grey</t>
        </is>
      </c>
    </row>
    <row r="1408" ht="15" customHeight="1">
      <c r="A1408" s="196" t="n">
        <v>1404</v>
      </c>
      <c r="B1408" s="197" t="inlineStr">
        <is>
          <t>Maruti Suzuki</t>
        </is>
      </c>
      <c r="C1408" s="198" t="inlineStr">
        <is>
          <t>Grand Vitara</t>
        </is>
      </c>
      <c r="D1408" s="199" t="inlineStr">
        <is>
          <t>Grand Vitara Alpha Plus</t>
        </is>
      </c>
      <c r="E1408" s="200" t="inlineStr">
        <is>
          <t>Midnight Black</t>
        </is>
      </c>
    </row>
    <row r="1409" ht="15" customHeight="1">
      <c r="A1409" s="196" t="n">
        <v>1405</v>
      </c>
      <c r="B1409" s="197" t="inlineStr">
        <is>
          <t>Maruti Suzuki</t>
        </is>
      </c>
      <c r="C1409" s="198" t="inlineStr">
        <is>
          <t>Grand Vitara</t>
        </is>
      </c>
      <c r="D1409" s="199" t="inlineStr">
        <is>
          <t>Grand Vitara Alpha Plus</t>
        </is>
      </c>
      <c r="E1409" s="200" t="inlineStr">
        <is>
          <t>Nexa Blue</t>
        </is>
      </c>
    </row>
    <row r="1410" ht="15" customHeight="1">
      <c r="A1410" s="196" t="n">
        <v>1406</v>
      </c>
      <c r="B1410" s="197" t="inlineStr">
        <is>
          <t>Maruti Suzuki</t>
        </is>
      </c>
      <c r="C1410" s="198" t="inlineStr">
        <is>
          <t>Grand Vitara</t>
        </is>
      </c>
      <c r="D1410" s="199" t="inlineStr">
        <is>
          <t>Grand Vitara Alpha Plus</t>
        </is>
      </c>
      <c r="E1410" s="200" t="inlineStr">
        <is>
          <t>Opulent Red</t>
        </is>
      </c>
    </row>
    <row r="1411" ht="15" customHeight="1">
      <c r="A1411" s="196" t="n">
        <v>1407</v>
      </c>
      <c r="B1411" s="197" t="inlineStr">
        <is>
          <t>Maruti Suzuki</t>
        </is>
      </c>
      <c r="C1411" s="198" t="inlineStr">
        <is>
          <t>Grand Vitara</t>
        </is>
      </c>
      <c r="D1411" s="199" t="inlineStr">
        <is>
          <t>Grand Vitara Alpha Plus</t>
        </is>
      </c>
      <c r="E1411" s="200" t="inlineStr">
        <is>
          <t>Splendid Silver</t>
        </is>
      </c>
    </row>
    <row r="1412" ht="15" customHeight="1">
      <c r="A1412" s="196" t="n">
        <v>1408</v>
      </c>
      <c r="B1412" s="197" t="inlineStr">
        <is>
          <t>Maruti Suzuki</t>
        </is>
      </c>
      <c r="C1412" s="198" t="inlineStr">
        <is>
          <t>Grand Vitara</t>
        </is>
      </c>
      <c r="D1412" s="199" t="inlineStr">
        <is>
          <t>Grand Vitara Alpha Plus (O)</t>
        </is>
      </c>
      <c r="E1412" s="200" t="inlineStr">
        <is>
          <t>Arctic White</t>
        </is>
      </c>
    </row>
    <row r="1413" ht="15" customHeight="1">
      <c r="A1413" s="196" t="n">
        <v>1409</v>
      </c>
      <c r="B1413" s="197" t="inlineStr">
        <is>
          <t>Maruti Suzuki</t>
        </is>
      </c>
      <c r="C1413" s="198" t="inlineStr">
        <is>
          <t>Grand Vitara</t>
        </is>
      </c>
      <c r="D1413" s="199" t="inlineStr">
        <is>
          <t>Grand Vitara Alpha Plus (O)</t>
        </is>
      </c>
      <c r="E1413" s="200" t="inlineStr">
        <is>
          <t>Chestnut Brown</t>
        </is>
      </c>
    </row>
    <row r="1414" ht="15" customHeight="1">
      <c r="A1414" s="196" t="n">
        <v>1410</v>
      </c>
      <c r="B1414" s="197" t="inlineStr">
        <is>
          <t>Maruti Suzuki</t>
        </is>
      </c>
      <c r="C1414" s="198" t="inlineStr">
        <is>
          <t>Grand Vitara</t>
        </is>
      </c>
      <c r="D1414" s="199" t="inlineStr">
        <is>
          <t>Grand Vitara Alpha Plus (O)</t>
        </is>
      </c>
      <c r="E1414" s="200" t="inlineStr">
        <is>
          <t>Grandeur Grey</t>
        </is>
      </c>
    </row>
    <row r="1415" ht="15" customHeight="1">
      <c r="A1415" s="196" t="n">
        <v>1411</v>
      </c>
      <c r="B1415" s="197" t="inlineStr">
        <is>
          <t>Maruti Suzuki</t>
        </is>
      </c>
      <c r="C1415" s="198" t="inlineStr">
        <is>
          <t>Grand Vitara</t>
        </is>
      </c>
      <c r="D1415" s="199" t="inlineStr">
        <is>
          <t>Grand Vitara Alpha Plus (O)</t>
        </is>
      </c>
      <c r="E1415" s="200" t="inlineStr">
        <is>
          <t>Midnight Black</t>
        </is>
      </c>
    </row>
    <row r="1416" ht="15" customHeight="1">
      <c r="A1416" s="196" t="n">
        <v>1412</v>
      </c>
      <c r="B1416" s="197" t="inlineStr">
        <is>
          <t>Maruti Suzuki</t>
        </is>
      </c>
      <c r="C1416" s="198" t="inlineStr">
        <is>
          <t>Grand Vitara</t>
        </is>
      </c>
      <c r="D1416" s="199" t="inlineStr">
        <is>
          <t>Grand Vitara Alpha Plus (O)</t>
        </is>
      </c>
      <c r="E1416" s="200" t="inlineStr">
        <is>
          <t>Nexa Blue</t>
        </is>
      </c>
    </row>
    <row r="1417" ht="15" customHeight="1">
      <c r="A1417" s="196" t="n">
        <v>1413</v>
      </c>
      <c r="B1417" s="197" t="inlineStr">
        <is>
          <t>Maruti Suzuki</t>
        </is>
      </c>
      <c r="C1417" s="198" t="inlineStr">
        <is>
          <t>Grand Vitara</t>
        </is>
      </c>
      <c r="D1417" s="199" t="inlineStr">
        <is>
          <t>Grand Vitara Alpha Plus (O)</t>
        </is>
      </c>
      <c r="E1417" s="200" t="inlineStr">
        <is>
          <t>Opulent Red</t>
        </is>
      </c>
    </row>
    <row r="1418" ht="15" customHeight="1">
      <c r="A1418" s="196" t="n">
        <v>1414</v>
      </c>
      <c r="B1418" s="197" t="inlineStr">
        <is>
          <t>Maruti Suzuki</t>
        </is>
      </c>
      <c r="C1418" s="198" t="inlineStr">
        <is>
          <t>Grand Vitara</t>
        </is>
      </c>
      <c r="D1418" s="199" t="inlineStr">
        <is>
          <t>Grand Vitara Alpha Plus (O)</t>
        </is>
      </c>
      <c r="E1418" s="200" t="inlineStr">
        <is>
          <t>Splendid Silver</t>
        </is>
      </c>
    </row>
    <row r="1419" ht="15" customHeight="1">
      <c r="A1419" s="196" t="n">
        <v>1415</v>
      </c>
      <c r="B1419" s="197" t="inlineStr">
        <is>
          <t>Maruti Suzuki</t>
        </is>
      </c>
      <c r="C1419" s="198" t="inlineStr">
        <is>
          <t>Grand Vitara</t>
        </is>
      </c>
      <c r="D1419" s="199" t="inlineStr">
        <is>
          <t>Grand Vitara Delta</t>
        </is>
      </c>
      <c r="E1419" s="200" t="inlineStr">
        <is>
          <t>Arctic White</t>
        </is>
      </c>
    </row>
    <row r="1420" ht="15" customHeight="1">
      <c r="A1420" s="196" t="n">
        <v>1416</v>
      </c>
      <c r="B1420" s="197" t="inlineStr">
        <is>
          <t>Maruti Suzuki</t>
        </is>
      </c>
      <c r="C1420" s="198" t="inlineStr">
        <is>
          <t>Grand Vitara</t>
        </is>
      </c>
      <c r="D1420" s="199" t="inlineStr">
        <is>
          <t>Grand Vitara Delta</t>
        </is>
      </c>
      <c r="E1420" s="200" t="inlineStr">
        <is>
          <t>Chestnut Brown</t>
        </is>
      </c>
    </row>
    <row r="1421" ht="15" customHeight="1">
      <c r="A1421" s="196" t="n">
        <v>1417</v>
      </c>
      <c r="B1421" s="197" t="inlineStr">
        <is>
          <t>Maruti Suzuki</t>
        </is>
      </c>
      <c r="C1421" s="198" t="inlineStr">
        <is>
          <t>Grand Vitara</t>
        </is>
      </c>
      <c r="D1421" s="199" t="inlineStr">
        <is>
          <t>Grand Vitara Delta</t>
        </is>
      </c>
      <c r="E1421" s="200" t="inlineStr">
        <is>
          <t>Grandeur Grey</t>
        </is>
      </c>
    </row>
    <row r="1422" ht="15" customHeight="1">
      <c r="A1422" s="196" t="n">
        <v>1418</v>
      </c>
      <c r="B1422" s="197" t="inlineStr">
        <is>
          <t>Maruti Suzuki</t>
        </is>
      </c>
      <c r="C1422" s="198" t="inlineStr">
        <is>
          <t>Grand Vitara</t>
        </is>
      </c>
      <c r="D1422" s="199" t="inlineStr">
        <is>
          <t>Grand Vitara Delta</t>
        </is>
      </c>
      <c r="E1422" s="200" t="inlineStr">
        <is>
          <t>Nexa Blue</t>
        </is>
      </c>
    </row>
    <row r="1423" ht="15" customHeight="1">
      <c r="A1423" s="196" t="n">
        <v>1419</v>
      </c>
      <c r="B1423" s="197" t="inlineStr">
        <is>
          <t>Maruti Suzuki</t>
        </is>
      </c>
      <c r="C1423" s="198" t="inlineStr">
        <is>
          <t>Grand Vitara</t>
        </is>
      </c>
      <c r="D1423" s="199" t="inlineStr">
        <is>
          <t>Grand Vitara Delta</t>
        </is>
      </c>
      <c r="E1423" s="200" t="inlineStr">
        <is>
          <t>Opulent Red</t>
        </is>
      </c>
    </row>
    <row r="1424" ht="15" customHeight="1">
      <c r="A1424" s="196" t="n">
        <v>1420</v>
      </c>
      <c r="B1424" s="197" t="inlineStr">
        <is>
          <t>Maruti Suzuki</t>
        </is>
      </c>
      <c r="C1424" s="198" t="inlineStr">
        <is>
          <t>Grand Vitara</t>
        </is>
      </c>
      <c r="D1424" s="199" t="inlineStr">
        <is>
          <t>Grand Vitara Delta</t>
        </is>
      </c>
      <c r="E1424" s="200" t="inlineStr">
        <is>
          <t>Splendid Silver</t>
        </is>
      </c>
    </row>
    <row r="1425" ht="15" customHeight="1">
      <c r="A1425" s="196" t="n">
        <v>1421</v>
      </c>
      <c r="B1425" s="197" t="inlineStr">
        <is>
          <t>Maruti Suzuki</t>
        </is>
      </c>
      <c r="C1425" s="198" t="inlineStr">
        <is>
          <t>Grand Vitara</t>
        </is>
      </c>
      <c r="D1425" s="199" t="inlineStr">
        <is>
          <t>Grand Vitara Delta Plus</t>
        </is>
      </c>
      <c r="E1425" s="200" t="inlineStr">
        <is>
          <t>Arctic White</t>
        </is>
      </c>
    </row>
    <row r="1426" ht="15" customHeight="1">
      <c r="A1426" s="196" t="n">
        <v>1422</v>
      </c>
      <c r="B1426" s="197" t="inlineStr">
        <is>
          <t>Maruti Suzuki</t>
        </is>
      </c>
      <c r="C1426" s="198" t="inlineStr">
        <is>
          <t>Grand Vitara</t>
        </is>
      </c>
      <c r="D1426" s="199" t="inlineStr">
        <is>
          <t>Grand Vitara Delta Plus</t>
        </is>
      </c>
      <c r="E1426" s="200" t="inlineStr">
        <is>
          <t>Chestnut Brown</t>
        </is>
      </c>
    </row>
    <row r="1427" ht="15" customHeight="1">
      <c r="A1427" s="196" t="n">
        <v>1423</v>
      </c>
      <c r="B1427" s="197" t="inlineStr">
        <is>
          <t>Maruti Suzuki</t>
        </is>
      </c>
      <c r="C1427" s="198" t="inlineStr">
        <is>
          <t>Grand Vitara</t>
        </is>
      </c>
      <c r="D1427" s="199" t="inlineStr">
        <is>
          <t>Grand Vitara Delta Plus</t>
        </is>
      </c>
      <c r="E1427" s="200" t="inlineStr">
        <is>
          <t>Grandeur Grey</t>
        </is>
      </c>
    </row>
    <row r="1428" ht="15" customHeight="1">
      <c r="A1428" s="196" t="n">
        <v>1424</v>
      </c>
      <c r="B1428" s="197" t="inlineStr">
        <is>
          <t>Maruti Suzuki</t>
        </is>
      </c>
      <c r="C1428" s="198" t="inlineStr">
        <is>
          <t>Grand Vitara</t>
        </is>
      </c>
      <c r="D1428" s="199" t="inlineStr">
        <is>
          <t>Grand Vitara Delta Plus</t>
        </is>
      </c>
      <c r="E1428" s="200" t="inlineStr">
        <is>
          <t>Nexa Blue</t>
        </is>
      </c>
    </row>
    <row r="1429" ht="15" customHeight="1">
      <c r="A1429" s="196" t="n">
        <v>1425</v>
      </c>
      <c r="B1429" s="197" t="inlineStr">
        <is>
          <t>Maruti Suzuki</t>
        </is>
      </c>
      <c r="C1429" s="198" t="inlineStr">
        <is>
          <t>Grand Vitara</t>
        </is>
      </c>
      <c r="D1429" s="199" t="inlineStr">
        <is>
          <t>Grand Vitara Delta Plus</t>
        </is>
      </c>
      <c r="E1429" s="200" t="inlineStr">
        <is>
          <t>Opulent Red</t>
        </is>
      </c>
    </row>
    <row r="1430" ht="15" customHeight="1">
      <c r="A1430" s="196" t="n">
        <v>1426</v>
      </c>
      <c r="B1430" s="197" t="inlineStr">
        <is>
          <t>Maruti Suzuki</t>
        </is>
      </c>
      <c r="C1430" s="198" t="inlineStr">
        <is>
          <t>Grand Vitara</t>
        </is>
      </c>
      <c r="D1430" s="199" t="inlineStr">
        <is>
          <t>Grand Vitara Delta Plus</t>
        </is>
      </c>
      <c r="E1430" s="200" t="inlineStr">
        <is>
          <t>Splendid Silver</t>
        </is>
      </c>
    </row>
    <row r="1431" ht="15" customHeight="1">
      <c r="A1431" s="196" t="n">
        <v>1427</v>
      </c>
      <c r="B1431" s="197" t="inlineStr">
        <is>
          <t>Maruti Suzuki</t>
        </is>
      </c>
      <c r="C1431" s="198" t="inlineStr">
        <is>
          <t>Grand Vitara</t>
        </is>
      </c>
      <c r="D1431" s="199" t="inlineStr">
        <is>
          <t>Grand Vitara Sigma</t>
        </is>
      </c>
      <c r="E1431" s="200" t="inlineStr">
        <is>
          <t>Arctic White</t>
        </is>
      </c>
    </row>
    <row r="1432" ht="15" customHeight="1">
      <c r="A1432" s="196" t="n">
        <v>1428</v>
      </c>
      <c r="B1432" s="197" t="inlineStr">
        <is>
          <t>Maruti Suzuki</t>
        </is>
      </c>
      <c r="C1432" s="198" t="inlineStr">
        <is>
          <t>Grand Vitara</t>
        </is>
      </c>
      <c r="D1432" s="199" t="inlineStr">
        <is>
          <t>Grand Vitara Zeta</t>
        </is>
      </c>
      <c r="E1432" s="200" t="inlineStr">
        <is>
          <t>Arctic White</t>
        </is>
      </c>
    </row>
    <row r="1433" ht="15" customHeight="1">
      <c r="A1433" s="196" t="n">
        <v>1429</v>
      </c>
      <c r="B1433" s="197" t="inlineStr">
        <is>
          <t>Maruti Suzuki</t>
        </is>
      </c>
      <c r="C1433" s="198" t="inlineStr">
        <is>
          <t>Grand Vitara</t>
        </is>
      </c>
      <c r="D1433" s="199" t="inlineStr">
        <is>
          <t>Grand Vitara Zeta</t>
        </is>
      </c>
      <c r="E1433" s="200" t="inlineStr">
        <is>
          <t>Chestnut Brown</t>
        </is>
      </c>
    </row>
    <row r="1434" ht="15" customHeight="1">
      <c r="A1434" s="196" t="n">
        <v>1430</v>
      </c>
      <c r="B1434" s="197" t="inlineStr">
        <is>
          <t>Maruti Suzuki</t>
        </is>
      </c>
      <c r="C1434" s="198" t="inlineStr">
        <is>
          <t>Grand Vitara</t>
        </is>
      </c>
      <c r="D1434" s="199" t="inlineStr">
        <is>
          <t>Grand Vitara Zeta</t>
        </is>
      </c>
      <c r="E1434" s="200" t="inlineStr">
        <is>
          <t>Grandeur Grey</t>
        </is>
      </c>
    </row>
    <row r="1435" ht="15" customHeight="1">
      <c r="A1435" s="196" t="n">
        <v>1431</v>
      </c>
      <c r="B1435" s="197" t="inlineStr">
        <is>
          <t>Maruti Suzuki</t>
        </is>
      </c>
      <c r="C1435" s="198" t="inlineStr">
        <is>
          <t>Grand Vitara</t>
        </is>
      </c>
      <c r="D1435" s="199" t="inlineStr">
        <is>
          <t>Grand Vitara Zeta</t>
        </is>
      </c>
      <c r="E1435" s="200" t="inlineStr">
        <is>
          <t>Nexa Blue</t>
        </is>
      </c>
    </row>
    <row r="1436" ht="15" customHeight="1">
      <c r="A1436" s="196" t="n">
        <v>1432</v>
      </c>
      <c r="B1436" s="197" t="inlineStr">
        <is>
          <t>Maruti Suzuki</t>
        </is>
      </c>
      <c r="C1436" s="198" t="inlineStr">
        <is>
          <t>Grand Vitara</t>
        </is>
      </c>
      <c r="D1436" s="199" t="inlineStr">
        <is>
          <t>Grand Vitara Zeta</t>
        </is>
      </c>
      <c r="E1436" s="200" t="inlineStr">
        <is>
          <t>Opulent Red</t>
        </is>
      </c>
    </row>
    <row r="1437" ht="15" customHeight="1">
      <c r="A1437" s="196" t="n">
        <v>1433</v>
      </c>
      <c r="B1437" s="197" t="inlineStr">
        <is>
          <t>Maruti Suzuki</t>
        </is>
      </c>
      <c r="C1437" s="198" t="inlineStr">
        <is>
          <t>Grand Vitara</t>
        </is>
      </c>
      <c r="D1437" s="199" t="inlineStr">
        <is>
          <t>Grand Vitara Zeta</t>
        </is>
      </c>
      <c r="E1437" s="200" t="inlineStr">
        <is>
          <t>Splendid Silver</t>
        </is>
      </c>
    </row>
    <row r="1438" ht="15" customHeight="1">
      <c r="A1438" s="196" t="n">
        <v>1434</v>
      </c>
      <c r="B1438" s="197" t="inlineStr">
        <is>
          <t>Maruti Suzuki</t>
        </is>
      </c>
      <c r="C1438" s="198" t="inlineStr">
        <is>
          <t>Grand Vitara</t>
        </is>
      </c>
      <c r="D1438" s="199" t="inlineStr">
        <is>
          <t>Grand Vitara Zeta (O)</t>
        </is>
      </c>
      <c r="E1438" s="200" t="inlineStr">
        <is>
          <t>Arctic White</t>
        </is>
      </c>
    </row>
    <row r="1439" ht="15" customHeight="1">
      <c r="A1439" s="196" t="n">
        <v>1435</v>
      </c>
      <c r="B1439" s="197" t="inlineStr">
        <is>
          <t>Maruti Suzuki</t>
        </is>
      </c>
      <c r="C1439" s="198" t="inlineStr">
        <is>
          <t>Grand Vitara</t>
        </is>
      </c>
      <c r="D1439" s="199" t="inlineStr">
        <is>
          <t>Grand Vitara Zeta (O)</t>
        </is>
      </c>
      <c r="E1439" s="200" t="inlineStr">
        <is>
          <t>Chestnut Brown</t>
        </is>
      </c>
    </row>
    <row r="1440" ht="15" customHeight="1">
      <c r="A1440" s="196" t="n">
        <v>1436</v>
      </c>
      <c r="B1440" s="197" t="inlineStr">
        <is>
          <t>Maruti Suzuki</t>
        </is>
      </c>
      <c r="C1440" s="198" t="inlineStr">
        <is>
          <t>Grand Vitara</t>
        </is>
      </c>
      <c r="D1440" s="199" t="inlineStr">
        <is>
          <t>Grand Vitara Zeta (O)</t>
        </is>
      </c>
      <c r="E1440" s="200" t="inlineStr">
        <is>
          <t>Grandeur Grey</t>
        </is>
      </c>
    </row>
    <row r="1441" ht="15" customHeight="1">
      <c r="A1441" s="196" t="n">
        <v>1437</v>
      </c>
      <c r="B1441" s="197" t="inlineStr">
        <is>
          <t>Maruti Suzuki</t>
        </is>
      </c>
      <c r="C1441" s="198" t="inlineStr">
        <is>
          <t>Grand Vitara</t>
        </is>
      </c>
      <c r="D1441" s="199" t="inlineStr">
        <is>
          <t>Grand Vitara Zeta (O)</t>
        </is>
      </c>
      <c r="E1441" s="200" t="inlineStr">
        <is>
          <t>Nexa Blue</t>
        </is>
      </c>
    </row>
    <row r="1442" ht="15" customHeight="1">
      <c r="A1442" s="196" t="n">
        <v>1438</v>
      </c>
      <c r="B1442" s="197" t="inlineStr">
        <is>
          <t>Maruti Suzuki</t>
        </is>
      </c>
      <c r="C1442" s="198" t="inlineStr">
        <is>
          <t>Grand Vitara</t>
        </is>
      </c>
      <c r="D1442" s="199" t="inlineStr">
        <is>
          <t>Grand Vitara Zeta (O)</t>
        </is>
      </c>
      <c r="E1442" s="200" t="inlineStr">
        <is>
          <t>Opulent Red</t>
        </is>
      </c>
    </row>
    <row r="1443" ht="15" customHeight="1">
      <c r="A1443" s="196" t="n">
        <v>1439</v>
      </c>
      <c r="B1443" s="197" t="inlineStr">
        <is>
          <t>Maruti Suzuki</t>
        </is>
      </c>
      <c r="C1443" s="198" t="inlineStr">
        <is>
          <t>Grand Vitara</t>
        </is>
      </c>
      <c r="D1443" s="199" t="inlineStr">
        <is>
          <t>Grand Vitara Zeta (O)</t>
        </is>
      </c>
      <c r="E1443" s="200" t="inlineStr">
        <is>
          <t>Splendid Silver</t>
        </is>
      </c>
    </row>
    <row r="1444" ht="15" customHeight="1">
      <c r="A1444" s="196" t="n">
        <v>1440</v>
      </c>
      <c r="B1444" s="197" t="inlineStr">
        <is>
          <t>Maruti Suzuki</t>
        </is>
      </c>
      <c r="C1444" s="198" t="inlineStr">
        <is>
          <t>Grand Vitara</t>
        </is>
      </c>
      <c r="D1444" s="199" t="inlineStr">
        <is>
          <t>Grand Vitara Zeta Plus</t>
        </is>
      </c>
      <c r="E1444" s="200" t="inlineStr">
        <is>
          <t>Arctic White</t>
        </is>
      </c>
    </row>
    <row r="1445" ht="15" customHeight="1">
      <c r="A1445" s="196" t="n">
        <v>1441</v>
      </c>
      <c r="B1445" s="197" t="inlineStr">
        <is>
          <t>Maruti Suzuki</t>
        </is>
      </c>
      <c r="C1445" s="198" t="inlineStr">
        <is>
          <t>Grand Vitara</t>
        </is>
      </c>
      <c r="D1445" s="199" t="inlineStr">
        <is>
          <t>Grand Vitara Zeta Plus</t>
        </is>
      </c>
      <c r="E1445" s="200" t="inlineStr">
        <is>
          <t>Chestnut Brown</t>
        </is>
      </c>
    </row>
    <row r="1446" ht="15" customHeight="1">
      <c r="A1446" s="196" t="n">
        <v>1442</v>
      </c>
      <c r="B1446" s="197" t="inlineStr">
        <is>
          <t>Maruti Suzuki</t>
        </is>
      </c>
      <c r="C1446" s="198" t="inlineStr">
        <is>
          <t>Grand Vitara</t>
        </is>
      </c>
      <c r="D1446" s="199" t="inlineStr">
        <is>
          <t>Grand Vitara Zeta Plus</t>
        </is>
      </c>
      <c r="E1446" s="200" t="inlineStr">
        <is>
          <t>Grandeur Grey</t>
        </is>
      </c>
    </row>
    <row r="1447" ht="15" customHeight="1">
      <c r="A1447" s="196" t="n">
        <v>1443</v>
      </c>
      <c r="B1447" s="197" t="inlineStr">
        <is>
          <t>Maruti Suzuki</t>
        </is>
      </c>
      <c r="C1447" s="198" t="inlineStr">
        <is>
          <t>Grand Vitara</t>
        </is>
      </c>
      <c r="D1447" s="199" t="inlineStr">
        <is>
          <t>Grand Vitara Zeta Plus</t>
        </is>
      </c>
      <c r="E1447" s="200" t="inlineStr">
        <is>
          <t>Midnight Black</t>
        </is>
      </c>
    </row>
    <row r="1448" ht="15" customHeight="1">
      <c r="A1448" s="196" t="n">
        <v>1444</v>
      </c>
      <c r="B1448" s="197" t="inlineStr">
        <is>
          <t>Maruti Suzuki</t>
        </is>
      </c>
      <c r="C1448" s="198" t="inlineStr">
        <is>
          <t>Grand Vitara</t>
        </is>
      </c>
      <c r="D1448" s="199" t="inlineStr">
        <is>
          <t>Grand Vitara Zeta Plus</t>
        </is>
      </c>
      <c r="E1448" s="200" t="inlineStr">
        <is>
          <t>Nexa Blue</t>
        </is>
      </c>
    </row>
    <row r="1449" ht="15" customHeight="1">
      <c r="A1449" s="196" t="n">
        <v>1445</v>
      </c>
      <c r="B1449" s="197" t="inlineStr">
        <is>
          <t>Maruti Suzuki</t>
        </is>
      </c>
      <c r="C1449" s="198" t="inlineStr">
        <is>
          <t>Grand Vitara</t>
        </is>
      </c>
      <c r="D1449" s="199" t="inlineStr">
        <is>
          <t>Grand Vitara Zeta Plus</t>
        </is>
      </c>
      <c r="E1449" s="200" t="inlineStr">
        <is>
          <t>Opulent Red</t>
        </is>
      </c>
    </row>
    <row r="1450" ht="15" customHeight="1">
      <c r="A1450" s="196" t="n">
        <v>1446</v>
      </c>
      <c r="B1450" s="197" t="inlineStr">
        <is>
          <t>Maruti Suzuki</t>
        </is>
      </c>
      <c r="C1450" s="198" t="inlineStr">
        <is>
          <t>Grand Vitara</t>
        </is>
      </c>
      <c r="D1450" s="199" t="inlineStr">
        <is>
          <t>Grand Vitara Zeta Plus</t>
        </is>
      </c>
      <c r="E1450" s="200" t="inlineStr">
        <is>
          <t>Splendid Silver</t>
        </is>
      </c>
    </row>
    <row r="1451" ht="15" customHeight="1">
      <c r="A1451" s="196" t="n">
        <v>1447</v>
      </c>
      <c r="B1451" s="197" t="inlineStr">
        <is>
          <t>Maruti Suzuki</t>
        </is>
      </c>
      <c r="C1451" s="198" t="inlineStr">
        <is>
          <t>Grand Vitara</t>
        </is>
      </c>
      <c r="D1451" s="199" t="inlineStr">
        <is>
          <t>Grand Vitara Zeta Plus (O)</t>
        </is>
      </c>
      <c r="E1451" s="200" t="inlineStr">
        <is>
          <t>Arctic White</t>
        </is>
      </c>
    </row>
    <row r="1452" ht="15" customHeight="1">
      <c r="A1452" s="196" t="n">
        <v>1448</v>
      </c>
      <c r="B1452" s="197" t="inlineStr">
        <is>
          <t>Maruti Suzuki</t>
        </is>
      </c>
      <c r="C1452" s="198" t="inlineStr">
        <is>
          <t>Grand Vitara</t>
        </is>
      </c>
      <c r="D1452" s="199" t="inlineStr">
        <is>
          <t>Grand Vitara Zeta Plus (O)</t>
        </is>
      </c>
      <c r="E1452" s="200" t="inlineStr">
        <is>
          <t>Chestnut Brown</t>
        </is>
      </c>
    </row>
    <row r="1453" ht="15" customHeight="1">
      <c r="A1453" s="196" t="n">
        <v>1449</v>
      </c>
      <c r="B1453" s="197" t="inlineStr">
        <is>
          <t>Maruti Suzuki</t>
        </is>
      </c>
      <c r="C1453" s="198" t="inlineStr">
        <is>
          <t>Grand Vitara</t>
        </is>
      </c>
      <c r="D1453" s="199" t="inlineStr">
        <is>
          <t>Grand Vitara Zeta Plus (O)</t>
        </is>
      </c>
      <c r="E1453" s="200" t="inlineStr">
        <is>
          <t>Grandeur Grey</t>
        </is>
      </c>
    </row>
    <row r="1454" ht="15" customHeight="1">
      <c r="A1454" s="196" t="n">
        <v>1450</v>
      </c>
      <c r="B1454" s="197" t="inlineStr">
        <is>
          <t>Maruti Suzuki</t>
        </is>
      </c>
      <c r="C1454" s="198" t="inlineStr">
        <is>
          <t>Grand Vitara</t>
        </is>
      </c>
      <c r="D1454" s="199" t="inlineStr">
        <is>
          <t>Grand Vitara Zeta Plus (O)</t>
        </is>
      </c>
      <c r="E1454" s="200" t="inlineStr">
        <is>
          <t>Midnight Black</t>
        </is>
      </c>
    </row>
    <row r="1455" ht="15" customHeight="1">
      <c r="A1455" s="196" t="n">
        <v>1451</v>
      </c>
      <c r="B1455" s="197" t="inlineStr">
        <is>
          <t>Maruti Suzuki</t>
        </is>
      </c>
      <c r="C1455" s="198" t="inlineStr">
        <is>
          <t>Grand Vitara</t>
        </is>
      </c>
      <c r="D1455" s="199" t="inlineStr">
        <is>
          <t>Grand Vitara Zeta Plus (O)</t>
        </is>
      </c>
      <c r="E1455" s="200" t="inlineStr">
        <is>
          <t>Nexa Blue</t>
        </is>
      </c>
    </row>
    <row r="1456" ht="15" customHeight="1">
      <c r="A1456" s="196" t="n">
        <v>1452</v>
      </c>
      <c r="B1456" s="197" t="inlineStr">
        <is>
          <t>Maruti Suzuki</t>
        </is>
      </c>
      <c r="C1456" s="198" t="inlineStr">
        <is>
          <t>Grand Vitara</t>
        </is>
      </c>
      <c r="D1456" s="199" t="inlineStr">
        <is>
          <t>Grand Vitara Zeta Plus (O)</t>
        </is>
      </c>
      <c r="E1456" s="200" t="inlineStr">
        <is>
          <t>Opulent Red</t>
        </is>
      </c>
    </row>
    <row r="1457" ht="15" customHeight="1">
      <c r="A1457" s="196" t="n">
        <v>1453</v>
      </c>
      <c r="B1457" s="197" t="inlineStr">
        <is>
          <t>Maruti Suzuki</t>
        </is>
      </c>
      <c r="C1457" s="198" t="inlineStr">
        <is>
          <t>Grand Vitara</t>
        </is>
      </c>
      <c r="D1457" s="199" t="inlineStr">
        <is>
          <t>Grand Vitara Zeta Plus (O)</t>
        </is>
      </c>
      <c r="E1457" s="200" t="inlineStr">
        <is>
          <t>Splendid Silver</t>
        </is>
      </c>
    </row>
    <row r="1458" ht="15" customHeight="1">
      <c r="A1458" s="196" t="n">
        <v>1454</v>
      </c>
      <c r="B1458" s="197" t="inlineStr">
        <is>
          <t>Maruti Suzuki</t>
        </is>
      </c>
      <c r="C1458" s="198" t="inlineStr">
        <is>
          <t>Ignis</t>
        </is>
      </c>
      <c r="D1458" s="199" t="inlineStr">
        <is>
          <t>Ignis Alpha</t>
        </is>
      </c>
      <c r="E1458" s="200" t="inlineStr">
        <is>
          <t>Glistening Grey</t>
        </is>
      </c>
    </row>
    <row r="1459" ht="15" customHeight="1">
      <c r="A1459" s="196" t="n">
        <v>1455</v>
      </c>
      <c r="B1459" s="197" t="inlineStr">
        <is>
          <t>Maruti Suzuki</t>
        </is>
      </c>
      <c r="C1459" s="198" t="inlineStr">
        <is>
          <t>Ignis</t>
        </is>
      </c>
      <c r="D1459" s="199" t="inlineStr">
        <is>
          <t>Ignis Alpha</t>
        </is>
      </c>
      <c r="E1459" s="200" t="inlineStr">
        <is>
          <t>Lucent Orange</t>
        </is>
      </c>
    </row>
    <row r="1460" ht="15" customHeight="1">
      <c r="A1460" s="196" t="n">
        <v>1456</v>
      </c>
      <c r="B1460" s="197" t="inlineStr">
        <is>
          <t>Maruti Suzuki</t>
        </is>
      </c>
      <c r="C1460" s="198" t="inlineStr">
        <is>
          <t>Ignis</t>
        </is>
      </c>
      <c r="D1460" s="199" t="inlineStr">
        <is>
          <t>Ignis Alpha</t>
        </is>
      </c>
      <c r="E1460" s="200" t="inlineStr">
        <is>
          <t>Nexa Blue</t>
        </is>
      </c>
    </row>
    <row r="1461" ht="15" customHeight="1">
      <c r="A1461" s="196" t="n">
        <v>1457</v>
      </c>
      <c r="B1461" s="197" t="inlineStr">
        <is>
          <t>Maruti Suzuki</t>
        </is>
      </c>
      <c r="C1461" s="198" t="inlineStr">
        <is>
          <t>Ignis</t>
        </is>
      </c>
      <c r="D1461" s="199" t="inlineStr">
        <is>
          <t>Ignis Alpha</t>
        </is>
      </c>
      <c r="E1461" s="200" t="inlineStr">
        <is>
          <t>Pearl Arctic White</t>
        </is>
      </c>
    </row>
    <row r="1462" ht="15" customHeight="1">
      <c r="A1462" s="196" t="n">
        <v>1458</v>
      </c>
      <c r="B1462" s="197" t="inlineStr">
        <is>
          <t>Maruti Suzuki</t>
        </is>
      </c>
      <c r="C1462" s="198" t="inlineStr">
        <is>
          <t>Ignis</t>
        </is>
      </c>
      <c r="D1462" s="199" t="inlineStr">
        <is>
          <t>Ignis Alpha</t>
        </is>
      </c>
      <c r="E1462" s="200" t="inlineStr">
        <is>
          <t>Silky Silver</t>
        </is>
      </c>
    </row>
    <row r="1463" ht="15" customHeight="1">
      <c r="A1463" s="196" t="n">
        <v>1459</v>
      </c>
      <c r="B1463" s="197" t="inlineStr">
        <is>
          <t>Maruti Suzuki</t>
        </is>
      </c>
      <c r="C1463" s="198" t="inlineStr">
        <is>
          <t>Ignis</t>
        </is>
      </c>
      <c r="D1463" s="199" t="inlineStr">
        <is>
          <t>Ignis Alpha</t>
        </is>
      </c>
      <c r="E1463" s="200" t="inlineStr">
        <is>
          <t>Turquoise Blue</t>
        </is>
      </c>
    </row>
    <row r="1464" ht="15" customHeight="1">
      <c r="A1464" s="196" t="n">
        <v>1460</v>
      </c>
      <c r="B1464" s="197" t="inlineStr">
        <is>
          <t>Maruti Suzuki</t>
        </is>
      </c>
      <c r="C1464" s="198" t="inlineStr">
        <is>
          <t>Ignis</t>
        </is>
      </c>
      <c r="D1464" s="199" t="inlineStr">
        <is>
          <t>Ignis Delta</t>
        </is>
      </c>
      <c r="E1464" s="200" t="inlineStr">
        <is>
          <t>Glistening Grey</t>
        </is>
      </c>
    </row>
    <row r="1465" ht="15" customHeight="1">
      <c r="A1465" s="196" t="n">
        <v>1461</v>
      </c>
      <c r="B1465" s="197" t="inlineStr">
        <is>
          <t>Maruti Suzuki</t>
        </is>
      </c>
      <c r="C1465" s="198" t="inlineStr">
        <is>
          <t>Ignis</t>
        </is>
      </c>
      <c r="D1465" s="199" t="inlineStr">
        <is>
          <t>Ignis Delta</t>
        </is>
      </c>
      <c r="E1465" s="200" t="inlineStr">
        <is>
          <t>Lucent Orange</t>
        </is>
      </c>
    </row>
    <row r="1466" ht="15" customHeight="1">
      <c r="A1466" s="196" t="n">
        <v>1462</v>
      </c>
      <c r="B1466" s="197" t="inlineStr">
        <is>
          <t>Maruti Suzuki</t>
        </is>
      </c>
      <c r="C1466" s="198" t="inlineStr">
        <is>
          <t>Ignis</t>
        </is>
      </c>
      <c r="D1466" s="199" t="inlineStr">
        <is>
          <t>Ignis Delta</t>
        </is>
      </c>
      <c r="E1466" s="200" t="inlineStr">
        <is>
          <t>Nexa Blue</t>
        </is>
      </c>
    </row>
    <row r="1467" ht="15" customHeight="1">
      <c r="A1467" s="196" t="n">
        <v>1463</v>
      </c>
      <c r="B1467" s="197" t="inlineStr">
        <is>
          <t>Maruti Suzuki</t>
        </is>
      </c>
      <c r="C1467" s="198" t="inlineStr">
        <is>
          <t>Ignis</t>
        </is>
      </c>
      <c r="D1467" s="199" t="inlineStr">
        <is>
          <t>Ignis Delta</t>
        </is>
      </c>
      <c r="E1467" s="200" t="inlineStr">
        <is>
          <t>Pearl Arctic White</t>
        </is>
      </c>
    </row>
    <row r="1468" ht="15" customHeight="1">
      <c r="A1468" s="196" t="n">
        <v>1464</v>
      </c>
      <c r="B1468" s="197" t="inlineStr">
        <is>
          <t>Maruti Suzuki</t>
        </is>
      </c>
      <c r="C1468" s="198" t="inlineStr">
        <is>
          <t>Ignis</t>
        </is>
      </c>
      <c r="D1468" s="199" t="inlineStr">
        <is>
          <t>Ignis Delta</t>
        </is>
      </c>
      <c r="E1468" s="200" t="inlineStr">
        <is>
          <t>Silky Silver</t>
        </is>
      </c>
    </row>
    <row r="1469" ht="15" customHeight="1">
      <c r="A1469" s="196" t="n">
        <v>1465</v>
      </c>
      <c r="B1469" s="197" t="inlineStr">
        <is>
          <t>Maruti Suzuki</t>
        </is>
      </c>
      <c r="C1469" s="198" t="inlineStr">
        <is>
          <t>Ignis</t>
        </is>
      </c>
      <c r="D1469" s="199" t="inlineStr">
        <is>
          <t>Ignis Delta</t>
        </is>
      </c>
      <c r="E1469" s="200" t="inlineStr">
        <is>
          <t>Turquoise Blue</t>
        </is>
      </c>
    </row>
    <row r="1470" ht="15" customHeight="1">
      <c r="A1470" s="196" t="n">
        <v>1466</v>
      </c>
      <c r="B1470" s="197" t="inlineStr">
        <is>
          <t>Maruti Suzuki</t>
        </is>
      </c>
      <c r="C1470" s="198" t="inlineStr">
        <is>
          <t>Ignis</t>
        </is>
      </c>
      <c r="D1470" s="199" t="inlineStr">
        <is>
          <t>Ignis Sigma</t>
        </is>
      </c>
      <c r="E1470" s="200" t="inlineStr">
        <is>
          <t>Glistening Grey</t>
        </is>
      </c>
    </row>
    <row r="1471" ht="15" customHeight="1">
      <c r="A1471" s="196" t="n">
        <v>1467</v>
      </c>
      <c r="B1471" s="197" t="inlineStr">
        <is>
          <t>Maruti Suzuki</t>
        </is>
      </c>
      <c r="C1471" s="198" t="inlineStr">
        <is>
          <t>Ignis</t>
        </is>
      </c>
      <c r="D1471" s="199" t="inlineStr">
        <is>
          <t>Ignis Sigma</t>
        </is>
      </c>
      <c r="E1471" s="200" t="inlineStr">
        <is>
          <t>Lucent Orange</t>
        </is>
      </c>
    </row>
    <row r="1472" ht="15" customHeight="1">
      <c r="A1472" s="196" t="n">
        <v>1468</v>
      </c>
      <c r="B1472" s="197" t="inlineStr">
        <is>
          <t>Maruti Suzuki</t>
        </is>
      </c>
      <c r="C1472" s="198" t="inlineStr">
        <is>
          <t>Ignis</t>
        </is>
      </c>
      <c r="D1472" s="199" t="inlineStr">
        <is>
          <t>Ignis Sigma</t>
        </is>
      </c>
      <c r="E1472" s="200" t="inlineStr">
        <is>
          <t>Nexa Blue</t>
        </is>
      </c>
    </row>
    <row r="1473" ht="15" customHeight="1">
      <c r="A1473" s="196" t="n">
        <v>1469</v>
      </c>
      <c r="B1473" s="197" t="inlineStr">
        <is>
          <t>Maruti Suzuki</t>
        </is>
      </c>
      <c r="C1473" s="198" t="inlineStr">
        <is>
          <t>Ignis</t>
        </is>
      </c>
      <c r="D1473" s="199" t="inlineStr">
        <is>
          <t>Ignis Sigma</t>
        </is>
      </c>
      <c r="E1473" s="200" t="inlineStr">
        <is>
          <t>Pearl Arctic White</t>
        </is>
      </c>
    </row>
    <row r="1474" ht="15" customHeight="1">
      <c r="A1474" s="196" t="n">
        <v>1470</v>
      </c>
      <c r="B1474" s="197" t="inlineStr">
        <is>
          <t>Maruti Suzuki</t>
        </is>
      </c>
      <c r="C1474" s="198" t="inlineStr">
        <is>
          <t>Ignis</t>
        </is>
      </c>
      <c r="D1474" s="199" t="inlineStr">
        <is>
          <t>Ignis Sigma</t>
        </is>
      </c>
      <c r="E1474" s="200" t="inlineStr">
        <is>
          <t>Silky Silver</t>
        </is>
      </c>
    </row>
    <row r="1475" ht="15" customHeight="1">
      <c r="A1475" s="196" t="n">
        <v>1471</v>
      </c>
      <c r="B1475" s="197" t="inlineStr">
        <is>
          <t>Maruti Suzuki</t>
        </is>
      </c>
      <c r="C1475" s="198" t="inlineStr">
        <is>
          <t>Ignis</t>
        </is>
      </c>
      <c r="D1475" s="199" t="inlineStr">
        <is>
          <t>Ignis Sigma</t>
        </is>
      </c>
      <c r="E1475" s="200" t="inlineStr">
        <is>
          <t>Turquoise Blue</t>
        </is>
      </c>
    </row>
    <row r="1476" ht="15" customHeight="1">
      <c r="A1476" s="196" t="n">
        <v>1472</v>
      </c>
      <c r="B1476" s="197" t="inlineStr">
        <is>
          <t>Maruti Suzuki</t>
        </is>
      </c>
      <c r="C1476" s="198" t="inlineStr">
        <is>
          <t>Ignis</t>
        </is>
      </c>
      <c r="D1476" s="199" t="inlineStr">
        <is>
          <t>Ignis Zeta</t>
        </is>
      </c>
      <c r="E1476" s="200" t="inlineStr">
        <is>
          <t>Glistening Grey</t>
        </is>
      </c>
    </row>
    <row r="1477" ht="15" customHeight="1">
      <c r="A1477" s="196" t="n">
        <v>1473</v>
      </c>
      <c r="B1477" s="197" t="inlineStr">
        <is>
          <t>Maruti Suzuki</t>
        </is>
      </c>
      <c r="C1477" s="198" t="inlineStr">
        <is>
          <t>Ignis</t>
        </is>
      </c>
      <c r="D1477" s="199" t="inlineStr">
        <is>
          <t>Ignis Zeta</t>
        </is>
      </c>
      <c r="E1477" s="200" t="inlineStr">
        <is>
          <t>Lucent Orange</t>
        </is>
      </c>
    </row>
    <row r="1478" ht="15" customHeight="1">
      <c r="A1478" s="196" t="n">
        <v>1474</v>
      </c>
      <c r="B1478" s="197" t="inlineStr">
        <is>
          <t>Maruti Suzuki</t>
        </is>
      </c>
      <c r="C1478" s="198" t="inlineStr">
        <is>
          <t>Ignis</t>
        </is>
      </c>
      <c r="D1478" s="199" t="inlineStr">
        <is>
          <t>Ignis Zeta</t>
        </is>
      </c>
      <c r="E1478" s="200" t="inlineStr">
        <is>
          <t>Nexa Blue</t>
        </is>
      </c>
    </row>
    <row r="1479" ht="15" customHeight="1">
      <c r="A1479" s="196" t="n">
        <v>1475</v>
      </c>
      <c r="B1479" s="197" t="inlineStr">
        <is>
          <t>Maruti Suzuki</t>
        </is>
      </c>
      <c r="C1479" s="198" t="inlineStr">
        <is>
          <t>Ignis</t>
        </is>
      </c>
      <c r="D1479" s="199" t="inlineStr">
        <is>
          <t>Ignis Zeta</t>
        </is>
      </c>
      <c r="E1479" s="200" t="inlineStr">
        <is>
          <t>Pearl Arctic White</t>
        </is>
      </c>
    </row>
    <row r="1480" ht="15" customHeight="1">
      <c r="A1480" s="196" t="n">
        <v>1476</v>
      </c>
      <c r="B1480" s="197" t="inlineStr">
        <is>
          <t>Maruti Suzuki</t>
        </is>
      </c>
      <c r="C1480" s="198" t="inlineStr">
        <is>
          <t>Ignis</t>
        </is>
      </c>
      <c r="D1480" s="199" t="inlineStr">
        <is>
          <t>Ignis Zeta</t>
        </is>
      </c>
      <c r="E1480" s="200" t="inlineStr">
        <is>
          <t>Silky Silver</t>
        </is>
      </c>
    </row>
    <row r="1481" ht="15" customHeight="1">
      <c r="A1481" s="196" t="n">
        <v>1477</v>
      </c>
      <c r="B1481" s="197" t="inlineStr">
        <is>
          <t>Maruti Suzuki</t>
        </is>
      </c>
      <c r="C1481" s="198" t="inlineStr">
        <is>
          <t>Ignis</t>
        </is>
      </c>
      <c r="D1481" s="199" t="inlineStr">
        <is>
          <t>Ignis Zeta</t>
        </is>
      </c>
      <c r="E1481" s="200" t="inlineStr">
        <is>
          <t>Turquoise Blue</t>
        </is>
      </c>
    </row>
    <row r="1482" ht="15" customHeight="1">
      <c r="A1482" s="196" t="n">
        <v>1478</v>
      </c>
      <c r="B1482" s="197" t="inlineStr">
        <is>
          <t>Maruti Suzuki</t>
        </is>
      </c>
      <c r="C1482" s="198" t="inlineStr">
        <is>
          <t>Invicto</t>
        </is>
      </c>
      <c r="D1482" s="199" t="inlineStr">
        <is>
          <t>Invicto Alpha Plus</t>
        </is>
      </c>
      <c r="E1482" s="200" t="inlineStr">
        <is>
          <t>Majestic Silver</t>
        </is>
      </c>
    </row>
    <row r="1483" ht="15" customHeight="1">
      <c r="A1483" s="196" t="n">
        <v>1479</v>
      </c>
      <c r="B1483" s="197" t="inlineStr">
        <is>
          <t>Maruti Suzuki</t>
        </is>
      </c>
      <c r="C1483" s="198" t="inlineStr">
        <is>
          <t>Invicto</t>
        </is>
      </c>
      <c r="D1483" s="199" t="inlineStr">
        <is>
          <t>Invicto Alpha Plus</t>
        </is>
      </c>
      <c r="E1483" s="200" t="inlineStr">
        <is>
          <t>Mystic White</t>
        </is>
      </c>
    </row>
    <row r="1484" ht="15" customHeight="1">
      <c r="A1484" s="196" t="n">
        <v>1480</v>
      </c>
      <c r="B1484" s="197" t="inlineStr">
        <is>
          <t>Maruti Suzuki</t>
        </is>
      </c>
      <c r="C1484" s="198" t="inlineStr">
        <is>
          <t>Invicto</t>
        </is>
      </c>
      <c r="D1484" s="199" t="inlineStr">
        <is>
          <t>Invicto Alpha Plus</t>
        </is>
      </c>
      <c r="E1484" s="200" t="inlineStr">
        <is>
          <t>Nexa Blue (Celestial)</t>
        </is>
      </c>
    </row>
    <row r="1485" ht="15" customHeight="1">
      <c r="A1485" s="196" t="n">
        <v>1481</v>
      </c>
      <c r="B1485" s="197" t="inlineStr">
        <is>
          <t>Maruti Suzuki</t>
        </is>
      </c>
      <c r="C1485" s="198" t="inlineStr">
        <is>
          <t>Invicto</t>
        </is>
      </c>
      <c r="D1485" s="199" t="inlineStr">
        <is>
          <t>Invicto Alpha Plus</t>
        </is>
      </c>
      <c r="E1485" s="200" t="inlineStr">
        <is>
          <t>Stellar Bronze</t>
        </is>
      </c>
    </row>
    <row r="1486" ht="15" customHeight="1">
      <c r="A1486" s="196" t="n">
        <v>1482</v>
      </c>
      <c r="B1486" s="197" t="inlineStr">
        <is>
          <t>Maruti Suzuki</t>
        </is>
      </c>
      <c r="C1486" s="198" t="inlineStr">
        <is>
          <t>Invicto</t>
        </is>
      </c>
      <c r="D1486" s="199" t="inlineStr">
        <is>
          <t>Invicto Zeta Plus</t>
        </is>
      </c>
      <c r="E1486" s="200" t="inlineStr">
        <is>
          <t>Majestic Silver</t>
        </is>
      </c>
    </row>
    <row r="1487" ht="15" customHeight="1">
      <c r="A1487" s="196" t="n">
        <v>1483</v>
      </c>
      <c r="B1487" s="197" t="inlineStr">
        <is>
          <t>Maruti Suzuki</t>
        </is>
      </c>
      <c r="C1487" s="198" t="inlineStr">
        <is>
          <t>Invicto</t>
        </is>
      </c>
      <c r="D1487" s="199" t="inlineStr">
        <is>
          <t>Invicto Zeta Plus</t>
        </is>
      </c>
      <c r="E1487" s="200" t="inlineStr">
        <is>
          <t>Mystic White</t>
        </is>
      </c>
    </row>
    <row r="1488" ht="15" customHeight="1">
      <c r="A1488" s="196" t="n">
        <v>1484</v>
      </c>
      <c r="B1488" s="197" t="inlineStr">
        <is>
          <t>Maruti Suzuki</t>
        </is>
      </c>
      <c r="C1488" s="198" t="inlineStr">
        <is>
          <t>Invicto</t>
        </is>
      </c>
      <c r="D1488" s="199" t="inlineStr">
        <is>
          <t>Invicto Zeta Plus</t>
        </is>
      </c>
      <c r="E1488" s="200" t="inlineStr">
        <is>
          <t>Nexa Blue (Celestial)</t>
        </is>
      </c>
    </row>
    <row r="1489" ht="15" customHeight="1">
      <c r="A1489" s="196" t="n">
        <v>1485</v>
      </c>
      <c r="B1489" s="197" t="inlineStr">
        <is>
          <t>Maruti Suzuki</t>
        </is>
      </c>
      <c r="C1489" s="198" t="inlineStr">
        <is>
          <t>Invicto</t>
        </is>
      </c>
      <c r="D1489" s="199" t="inlineStr">
        <is>
          <t>Invicto Zeta Plus</t>
        </is>
      </c>
      <c r="E1489" s="200" t="inlineStr">
        <is>
          <t>Stellar Bronze</t>
        </is>
      </c>
    </row>
    <row r="1490" ht="15" customHeight="1">
      <c r="A1490" s="196" t="n">
        <v>1486</v>
      </c>
      <c r="B1490" s="197" t="inlineStr">
        <is>
          <t>Maruti Suzuki</t>
        </is>
      </c>
      <c r="C1490" s="198" t="inlineStr">
        <is>
          <t>Jimmy</t>
        </is>
      </c>
      <c r="D1490" s="199" t="inlineStr">
        <is>
          <t>Jimny Alpha</t>
        </is>
      </c>
      <c r="E1490" s="200" t="inlineStr">
        <is>
          <t>Bluish Black</t>
        </is>
      </c>
    </row>
    <row r="1491" ht="15" customHeight="1">
      <c r="A1491" s="196" t="n">
        <v>1487</v>
      </c>
      <c r="B1491" s="197" t="inlineStr">
        <is>
          <t>Maruti Suzuki</t>
        </is>
      </c>
      <c r="C1491" s="198" t="inlineStr">
        <is>
          <t>Jimmy</t>
        </is>
      </c>
      <c r="D1491" s="199" t="inlineStr">
        <is>
          <t>Jimny Alpha</t>
        </is>
      </c>
      <c r="E1491" s="200" t="inlineStr">
        <is>
          <t>Nexa Blue</t>
        </is>
      </c>
    </row>
    <row r="1492" ht="15" customHeight="1">
      <c r="A1492" s="196" t="n">
        <v>1488</v>
      </c>
      <c r="B1492" s="197" t="inlineStr">
        <is>
          <t>Maruti Suzuki</t>
        </is>
      </c>
      <c r="C1492" s="198" t="inlineStr">
        <is>
          <t>Jimmy</t>
        </is>
      </c>
      <c r="D1492" s="199" t="inlineStr">
        <is>
          <t>Jimny Alpha</t>
        </is>
      </c>
      <c r="E1492" s="200" t="inlineStr">
        <is>
          <t>Pearl Arctic White</t>
        </is>
      </c>
    </row>
    <row r="1493" ht="15" customHeight="1">
      <c r="A1493" s="196" t="n">
        <v>1489</v>
      </c>
      <c r="B1493" s="197" t="inlineStr">
        <is>
          <t>Maruti Suzuki</t>
        </is>
      </c>
      <c r="C1493" s="198" t="inlineStr">
        <is>
          <t>Jimmy</t>
        </is>
      </c>
      <c r="D1493" s="199" t="inlineStr">
        <is>
          <t>Jimny Alpha</t>
        </is>
      </c>
      <c r="E1493" s="200" t="inlineStr">
        <is>
          <t>Sizzling Red</t>
        </is>
      </c>
    </row>
    <row r="1494" ht="15" customHeight="1">
      <c r="A1494" s="196" t="n">
        <v>1490</v>
      </c>
      <c r="B1494" s="197" t="inlineStr">
        <is>
          <t>Maruti Suzuki</t>
        </is>
      </c>
      <c r="C1494" s="198" t="inlineStr">
        <is>
          <t>Jimmy</t>
        </is>
      </c>
      <c r="D1494" s="199" t="inlineStr">
        <is>
          <t>Jimny Zeta</t>
        </is>
      </c>
      <c r="E1494" s="200" t="inlineStr">
        <is>
          <t>Bluish Black</t>
        </is>
      </c>
    </row>
    <row r="1495" ht="15" customHeight="1">
      <c r="A1495" s="196" t="n">
        <v>1491</v>
      </c>
      <c r="B1495" s="197" t="inlineStr">
        <is>
          <t>Maruti Suzuki</t>
        </is>
      </c>
      <c r="C1495" s="198" t="inlineStr">
        <is>
          <t>Jimmy</t>
        </is>
      </c>
      <c r="D1495" s="199" t="inlineStr">
        <is>
          <t>Jimny Zeta</t>
        </is>
      </c>
      <c r="E1495" s="200" t="inlineStr">
        <is>
          <t>Granite Gray</t>
        </is>
      </c>
    </row>
    <row r="1496" ht="15" customHeight="1">
      <c r="A1496" s="196" t="n">
        <v>1492</v>
      </c>
      <c r="B1496" s="197" t="inlineStr">
        <is>
          <t>Maruti Suzuki</t>
        </is>
      </c>
      <c r="C1496" s="198" t="inlineStr">
        <is>
          <t>Jimmy</t>
        </is>
      </c>
      <c r="D1496" s="199" t="inlineStr">
        <is>
          <t>Jimny Zeta</t>
        </is>
      </c>
      <c r="E1496" s="200" t="inlineStr">
        <is>
          <t>Nexa Blue</t>
        </is>
      </c>
    </row>
    <row r="1497" ht="15" customHeight="1">
      <c r="A1497" s="196" t="n">
        <v>1493</v>
      </c>
      <c r="B1497" s="197" t="inlineStr">
        <is>
          <t>Maruti Suzuki</t>
        </is>
      </c>
      <c r="C1497" s="198" t="inlineStr">
        <is>
          <t>Jimmy</t>
        </is>
      </c>
      <c r="D1497" s="199" t="inlineStr">
        <is>
          <t>Jimny Zeta</t>
        </is>
      </c>
      <c r="E1497" s="200" t="inlineStr">
        <is>
          <t>Pearl Arctic White</t>
        </is>
      </c>
    </row>
    <row r="1498" ht="15" customHeight="1">
      <c r="A1498" s="196" t="n">
        <v>1494</v>
      </c>
      <c r="B1498" s="197" t="inlineStr">
        <is>
          <t>Maruti Suzuki</t>
        </is>
      </c>
      <c r="C1498" s="198" t="inlineStr">
        <is>
          <t>Jimmy</t>
        </is>
      </c>
      <c r="D1498" s="199" t="inlineStr">
        <is>
          <t>Jimny Zeta</t>
        </is>
      </c>
      <c r="E1498" s="200" t="inlineStr">
        <is>
          <t>Sizzling Red</t>
        </is>
      </c>
    </row>
    <row r="1499" ht="15" customHeight="1">
      <c r="A1499" s="196" t="n">
        <v>1495</v>
      </c>
      <c r="B1499" s="197" t="inlineStr">
        <is>
          <t>Maruti Suzuki</t>
        </is>
      </c>
      <c r="C1499" s="198" t="inlineStr">
        <is>
          <t>S-Cross</t>
        </is>
      </c>
      <c r="D1499" s="199" t="inlineStr">
        <is>
          <t>S-Cross 2020 Alpha</t>
        </is>
      </c>
      <c r="E1499" s="200" t="inlineStr">
        <is>
          <t>Caffeine Brown</t>
        </is>
      </c>
    </row>
    <row r="1500" ht="15" customHeight="1">
      <c r="A1500" s="196" t="n">
        <v>1496</v>
      </c>
      <c r="B1500" s="197" t="inlineStr">
        <is>
          <t>Maruti Suzuki</t>
        </is>
      </c>
      <c r="C1500" s="198" t="inlineStr">
        <is>
          <t>S-Cross</t>
        </is>
      </c>
      <c r="D1500" s="199" t="inlineStr">
        <is>
          <t>S-Cross 2020 Alpha</t>
        </is>
      </c>
      <c r="E1500" s="200" t="inlineStr">
        <is>
          <t>Granite Grey</t>
        </is>
      </c>
    </row>
    <row r="1501" ht="15" customHeight="1">
      <c r="A1501" s="196" t="n">
        <v>1497</v>
      </c>
      <c r="B1501" s="197" t="inlineStr">
        <is>
          <t>Maruti Suzuki</t>
        </is>
      </c>
      <c r="C1501" s="198" t="inlineStr">
        <is>
          <t>S-Cross</t>
        </is>
      </c>
      <c r="D1501" s="199" t="inlineStr">
        <is>
          <t>S-Cross 2020 Alpha</t>
        </is>
      </c>
      <c r="E1501" s="200" t="inlineStr">
        <is>
          <t>Nexa Blue</t>
        </is>
      </c>
    </row>
    <row r="1502" ht="15" customHeight="1">
      <c r="A1502" s="196" t="n">
        <v>1498</v>
      </c>
      <c r="B1502" s="197" t="inlineStr">
        <is>
          <t>Maruti Suzuki</t>
        </is>
      </c>
      <c r="C1502" s="198" t="inlineStr">
        <is>
          <t>S-Cross</t>
        </is>
      </c>
      <c r="D1502" s="199" t="inlineStr">
        <is>
          <t>S-Cross 2020 Alpha</t>
        </is>
      </c>
      <c r="E1502" s="200" t="inlineStr">
        <is>
          <t>Pearl Arctic White</t>
        </is>
      </c>
    </row>
    <row r="1503" ht="15" customHeight="1">
      <c r="A1503" s="196" t="n">
        <v>1499</v>
      </c>
      <c r="B1503" s="197" t="inlineStr">
        <is>
          <t>Maruti Suzuki</t>
        </is>
      </c>
      <c r="C1503" s="198" t="inlineStr">
        <is>
          <t>S-Cross</t>
        </is>
      </c>
      <c r="D1503" s="199" t="inlineStr">
        <is>
          <t>S-Cross 2020 Alpha</t>
        </is>
      </c>
      <c r="E1503" s="200" t="inlineStr">
        <is>
          <t>Premium Silver</t>
        </is>
      </c>
    </row>
    <row r="1504" ht="15" customHeight="1">
      <c r="A1504" s="196" t="n">
        <v>1500</v>
      </c>
      <c r="B1504" s="197" t="inlineStr">
        <is>
          <t>Maruti Suzuki</t>
        </is>
      </c>
      <c r="C1504" s="198" t="inlineStr">
        <is>
          <t>S-Cross</t>
        </is>
      </c>
      <c r="D1504" s="199" t="inlineStr">
        <is>
          <t>S-Cross 2020 Delta</t>
        </is>
      </c>
      <c r="E1504" s="200" t="inlineStr">
        <is>
          <t>Caffeine Brown</t>
        </is>
      </c>
    </row>
    <row r="1505" ht="15" customHeight="1">
      <c r="A1505" s="196" t="n">
        <v>1501</v>
      </c>
      <c r="B1505" s="197" t="inlineStr">
        <is>
          <t>Maruti Suzuki</t>
        </is>
      </c>
      <c r="C1505" s="198" t="inlineStr">
        <is>
          <t>S-Cross</t>
        </is>
      </c>
      <c r="D1505" s="199" t="inlineStr">
        <is>
          <t>S-Cross 2020 Delta</t>
        </is>
      </c>
      <c r="E1505" s="200" t="inlineStr">
        <is>
          <t>Granite Grey</t>
        </is>
      </c>
    </row>
    <row r="1506" ht="15" customHeight="1">
      <c r="A1506" s="196" t="n">
        <v>1502</v>
      </c>
      <c r="B1506" s="197" t="inlineStr">
        <is>
          <t>Maruti Suzuki</t>
        </is>
      </c>
      <c r="C1506" s="198" t="inlineStr">
        <is>
          <t>S-Cross</t>
        </is>
      </c>
      <c r="D1506" s="199" t="inlineStr">
        <is>
          <t>S-Cross 2020 Delta</t>
        </is>
      </c>
      <c r="E1506" s="200" t="inlineStr">
        <is>
          <t>Nexa Blue</t>
        </is>
      </c>
    </row>
    <row r="1507" ht="15" customHeight="1">
      <c r="A1507" s="196" t="n">
        <v>1503</v>
      </c>
      <c r="B1507" s="197" t="inlineStr">
        <is>
          <t>Maruti Suzuki</t>
        </is>
      </c>
      <c r="C1507" s="198" t="inlineStr">
        <is>
          <t>S-Cross</t>
        </is>
      </c>
      <c r="D1507" s="199" t="inlineStr">
        <is>
          <t>S-Cross 2020 Delta</t>
        </is>
      </c>
      <c r="E1507" s="200" t="inlineStr">
        <is>
          <t>Pearl Arctic White</t>
        </is>
      </c>
    </row>
    <row r="1508" ht="15" customHeight="1">
      <c r="A1508" s="196" t="n">
        <v>1504</v>
      </c>
      <c r="B1508" s="197" t="inlineStr">
        <is>
          <t>Maruti Suzuki</t>
        </is>
      </c>
      <c r="C1508" s="198" t="inlineStr">
        <is>
          <t>S-Cross</t>
        </is>
      </c>
      <c r="D1508" s="199" t="inlineStr">
        <is>
          <t>S-Cross 2020 Delta</t>
        </is>
      </c>
      <c r="E1508" s="200" t="inlineStr">
        <is>
          <t>Premium Silver</t>
        </is>
      </c>
    </row>
    <row r="1509" ht="15" customHeight="1">
      <c r="A1509" s="196" t="n">
        <v>1505</v>
      </c>
      <c r="B1509" s="197" t="inlineStr">
        <is>
          <t>Maruti Suzuki</t>
        </is>
      </c>
      <c r="C1509" s="198" t="inlineStr">
        <is>
          <t>S-Cross</t>
        </is>
      </c>
      <c r="D1509" s="199" t="inlineStr">
        <is>
          <t>S-Cross 2020 Sigma</t>
        </is>
      </c>
      <c r="E1509" s="200" t="inlineStr">
        <is>
          <t>Caffeine Brown</t>
        </is>
      </c>
    </row>
    <row r="1510" ht="15" customHeight="1">
      <c r="A1510" s="196" t="n">
        <v>1506</v>
      </c>
      <c r="B1510" s="197" t="inlineStr">
        <is>
          <t>Maruti Suzuki</t>
        </is>
      </c>
      <c r="C1510" s="198" t="inlineStr">
        <is>
          <t>S-Cross</t>
        </is>
      </c>
      <c r="D1510" s="199" t="inlineStr">
        <is>
          <t>S-Cross 2020 Sigma</t>
        </is>
      </c>
      <c r="E1510" s="200" t="inlineStr">
        <is>
          <t>Granite Grey</t>
        </is>
      </c>
    </row>
    <row r="1511" ht="15" customHeight="1">
      <c r="A1511" s="196" t="n">
        <v>1507</v>
      </c>
      <c r="B1511" s="197" t="inlineStr">
        <is>
          <t>Maruti Suzuki</t>
        </is>
      </c>
      <c r="C1511" s="198" t="inlineStr">
        <is>
          <t>S-Cross</t>
        </is>
      </c>
      <c r="D1511" s="199" t="inlineStr">
        <is>
          <t>S-Cross 2020 Sigma</t>
        </is>
      </c>
      <c r="E1511" s="200" t="inlineStr">
        <is>
          <t>Nexa Blue</t>
        </is>
      </c>
    </row>
    <row r="1512" ht="15" customHeight="1">
      <c r="A1512" s="196" t="n">
        <v>1508</v>
      </c>
      <c r="B1512" s="197" t="inlineStr">
        <is>
          <t>Maruti Suzuki</t>
        </is>
      </c>
      <c r="C1512" s="198" t="inlineStr">
        <is>
          <t>S-Cross</t>
        </is>
      </c>
      <c r="D1512" s="199" t="inlineStr">
        <is>
          <t>S-Cross 2020 Sigma</t>
        </is>
      </c>
      <c r="E1512" s="200" t="inlineStr">
        <is>
          <t>Pearl Arctic White</t>
        </is>
      </c>
    </row>
    <row r="1513" ht="15" customHeight="1">
      <c r="A1513" s="196" t="n">
        <v>1509</v>
      </c>
      <c r="B1513" s="197" t="inlineStr">
        <is>
          <t>Maruti Suzuki</t>
        </is>
      </c>
      <c r="C1513" s="198" t="inlineStr">
        <is>
          <t>S-Cross</t>
        </is>
      </c>
      <c r="D1513" s="199" t="inlineStr">
        <is>
          <t>S-Cross 2020 Sigma</t>
        </is>
      </c>
      <c r="E1513" s="200" t="inlineStr">
        <is>
          <t>Premium Silver</t>
        </is>
      </c>
    </row>
    <row r="1514" ht="15" customHeight="1">
      <c r="A1514" s="196" t="n">
        <v>1510</v>
      </c>
      <c r="B1514" s="197" t="inlineStr">
        <is>
          <t>Maruti Suzuki</t>
        </is>
      </c>
      <c r="C1514" s="198" t="inlineStr">
        <is>
          <t>S-Cross</t>
        </is>
      </c>
      <c r="D1514" s="199" t="inlineStr">
        <is>
          <t>S-Cross 2020 Zeta</t>
        </is>
      </c>
      <c r="E1514" s="200" t="inlineStr">
        <is>
          <t>Caffeine Brown</t>
        </is>
      </c>
    </row>
    <row r="1515" ht="15" customHeight="1">
      <c r="A1515" s="196" t="n">
        <v>1511</v>
      </c>
      <c r="B1515" s="197" t="inlineStr">
        <is>
          <t>Maruti Suzuki</t>
        </is>
      </c>
      <c r="C1515" s="198" t="inlineStr">
        <is>
          <t>S-Cross</t>
        </is>
      </c>
      <c r="D1515" s="199" t="inlineStr">
        <is>
          <t>S-Cross 2020 Zeta</t>
        </is>
      </c>
      <c r="E1515" s="200" t="inlineStr">
        <is>
          <t>Granite Grey</t>
        </is>
      </c>
    </row>
    <row r="1516" ht="15" customHeight="1">
      <c r="A1516" s="196" t="n">
        <v>1512</v>
      </c>
      <c r="B1516" s="197" t="inlineStr">
        <is>
          <t>Maruti Suzuki</t>
        </is>
      </c>
      <c r="C1516" s="198" t="inlineStr">
        <is>
          <t>S-Cross</t>
        </is>
      </c>
      <c r="D1516" s="199" t="inlineStr">
        <is>
          <t>S-Cross 2020 Zeta</t>
        </is>
      </c>
      <c r="E1516" s="200" t="inlineStr">
        <is>
          <t>Nexa Blue</t>
        </is>
      </c>
    </row>
    <row r="1517" ht="15" customHeight="1">
      <c r="A1517" s="196" t="n">
        <v>1513</v>
      </c>
      <c r="B1517" s="197" t="inlineStr">
        <is>
          <t>Maruti Suzuki</t>
        </is>
      </c>
      <c r="C1517" s="198" t="inlineStr">
        <is>
          <t>S-Cross</t>
        </is>
      </c>
      <c r="D1517" s="199" t="inlineStr">
        <is>
          <t>S-Cross 2020 Zeta</t>
        </is>
      </c>
      <c r="E1517" s="200" t="inlineStr">
        <is>
          <t>Pearl Arctic White</t>
        </is>
      </c>
    </row>
    <row r="1518" ht="15" customHeight="1">
      <c r="A1518" s="196" t="n">
        <v>1514</v>
      </c>
      <c r="B1518" s="197" t="inlineStr">
        <is>
          <t>Maruti Suzuki</t>
        </is>
      </c>
      <c r="C1518" s="198" t="inlineStr">
        <is>
          <t>S-Cross</t>
        </is>
      </c>
      <c r="D1518" s="199" t="inlineStr">
        <is>
          <t>S-Cross 2020 Zeta</t>
        </is>
      </c>
      <c r="E1518" s="200" t="inlineStr">
        <is>
          <t>Premium Silver</t>
        </is>
      </c>
    </row>
    <row r="1519" ht="15" customHeight="1">
      <c r="A1519" s="196" t="n">
        <v>1515</v>
      </c>
      <c r="B1519" s="197" t="inlineStr">
        <is>
          <t>Maruti Suzuki</t>
        </is>
      </c>
      <c r="C1519" s="198" t="inlineStr">
        <is>
          <t>S-Presso</t>
        </is>
      </c>
      <c r="D1519" s="199" t="inlineStr">
        <is>
          <t>S-Presso LXi (O)</t>
        </is>
      </c>
      <c r="E1519" s="200" t="inlineStr">
        <is>
          <t>Metallic Granite Grey</t>
        </is>
      </c>
    </row>
    <row r="1520" ht="15" customHeight="1">
      <c r="A1520" s="196" t="n">
        <v>1516</v>
      </c>
      <c r="B1520" s="197" t="inlineStr">
        <is>
          <t>Maruti Suzuki</t>
        </is>
      </c>
      <c r="C1520" s="198" t="inlineStr">
        <is>
          <t>S-Presso</t>
        </is>
      </c>
      <c r="D1520" s="199" t="inlineStr">
        <is>
          <t>S-Presso LXi (O)</t>
        </is>
      </c>
      <c r="E1520" s="200" t="inlineStr">
        <is>
          <t>Metallic Silky Silver</t>
        </is>
      </c>
    </row>
    <row r="1521" ht="15" customHeight="1">
      <c r="A1521" s="196" t="n">
        <v>1517</v>
      </c>
      <c r="B1521" s="197" t="inlineStr">
        <is>
          <t>Maruti Suzuki</t>
        </is>
      </c>
      <c r="C1521" s="198" t="inlineStr">
        <is>
          <t>S-Presso</t>
        </is>
      </c>
      <c r="D1521" s="199" t="inlineStr">
        <is>
          <t>S-Presso LXi (O)</t>
        </is>
      </c>
      <c r="E1521" s="200" t="inlineStr">
        <is>
          <t>Pearl Starry Blue</t>
        </is>
      </c>
    </row>
    <row r="1522" ht="15" customHeight="1">
      <c r="A1522" s="196" t="n">
        <v>1518</v>
      </c>
      <c r="B1522" s="197" t="inlineStr">
        <is>
          <t>Maruti Suzuki</t>
        </is>
      </c>
      <c r="C1522" s="198" t="inlineStr">
        <is>
          <t>S-Presso</t>
        </is>
      </c>
      <c r="D1522" s="199" t="inlineStr">
        <is>
          <t>S-Presso LXi (O)</t>
        </is>
      </c>
      <c r="E1522" s="200" t="inlineStr">
        <is>
          <t>Solid Fire Red</t>
        </is>
      </c>
    </row>
    <row r="1523" ht="15" customHeight="1">
      <c r="A1523" s="196" t="n">
        <v>1519</v>
      </c>
      <c r="B1523" s="197" t="inlineStr">
        <is>
          <t>Maruti Suzuki</t>
        </is>
      </c>
      <c r="C1523" s="198" t="inlineStr">
        <is>
          <t>S-Presso</t>
        </is>
      </c>
      <c r="D1523" s="199" t="inlineStr">
        <is>
          <t>S-Presso LXi (O)</t>
        </is>
      </c>
      <c r="E1523" s="200" t="inlineStr">
        <is>
          <t>Solid Sizzle Orange</t>
        </is>
      </c>
    </row>
    <row r="1524" ht="15" customHeight="1">
      <c r="A1524" s="196" t="n">
        <v>1520</v>
      </c>
      <c r="B1524" s="197" t="inlineStr">
        <is>
          <t>Maruti Suzuki</t>
        </is>
      </c>
      <c r="C1524" s="198" t="inlineStr">
        <is>
          <t>S-Presso</t>
        </is>
      </c>
      <c r="D1524" s="199" t="inlineStr">
        <is>
          <t>S-Presso LXi (O)</t>
        </is>
      </c>
      <c r="E1524" s="200" t="inlineStr">
        <is>
          <t>Solid White</t>
        </is>
      </c>
    </row>
    <row r="1525" ht="15" customHeight="1">
      <c r="A1525" s="196" t="n">
        <v>1521</v>
      </c>
      <c r="B1525" s="197" t="inlineStr">
        <is>
          <t>Maruti Suzuki</t>
        </is>
      </c>
      <c r="C1525" s="198" t="inlineStr">
        <is>
          <t>S-Presso</t>
        </is>
      </c>
      <c r="D1525" s="199" t="inlineStr">
        <is>
          <t>S-Presso STD (O)</t>
        </is>
      </c>
      <c r="E1525" s="200" t="inlineStr">
        <is>
          <t>Metallic Granite Grey</t>
        </is>
      </c>
    </row>
    <row r="1526" ht="15" customHeight="1">
      <c r="A1526" s="196" t="n">
        <v>1522</v>
      </c>
      <c r="B1526" s="197" t="inlineStr">
        <is>
          <t>Maruti Suzuki</t>
        </is>
      </c>
      <c r="C1526" s="198" t="inlineStr">
        <is>
          <t>S-Presso</t>
        </is>
      </c>
      <c r="D1526" s="199" t="inlineStr">
        <is>
          <t>S-Presso STD (O)</t>
        </is>
      </c>
      <c r="E1526" s="200" t="inlineStr">
        <is>
          <t>Metallic Silky Silver</t>
        </is>
      </c>
    </row>
    <row r="1527" ht="15" customHeight="1">
      <c r="A1527" s="196" t="n">
        <v>1523</v>
      </c>
      <c r="B1527" s="197" t="inlineStr">
        <is>
          <t>Maruti Suzuki</t>
        </is>
      </c>
      <c r="C1527" s="198" t="inlineStr">
        <is>
          <t>S-Presso</t>
        </is>
      </c>
      <c r="D1527" s="199" t="inlineStr">
        <is>
          <t>S-Presso STD (O)</t>
        </is>
      </c>
      <c r="E1527" s="200" t="inlineStr">
        <is>
          <t>Pearl Starry Blue</t>
        </is>
      </c>
    </row>
    <row r="1528" ht="15" customHeight="1">
      <c r="A1528" s="196" t="n">
        <v>1524</v>
      </c>
      <c r="B1528" s="197" t="inlineStr">
        <is>
          <t>Maruti Suzuki</t>
        </is>
      </c>
      <c r="C1528" s="198" t="inlineStr">
        <is>
          <t>S-Presso</t>
        </is>
      </c>
      <c r="D1528" s="199" t="inlineStr">
        <is>
          <t>S-Presso STD (O)</t>
        </is>
      </c>
      <c r="E1528" s="200" t="inlineStr">
        <is>
          <t>Solid Fire Red</t>
        </is>
      </c>
    </row>
    <row r="1529" ht="15" customHeight="1">
      <c r="A1529" s="196" t="n">
        <v>1525</v>
      </c>
      <c r="B1529" s="197" t="inlineStr">
        <is>
          <t>Maruti Suzuki</t>
        </is>
      </c>
      <c r="C1529" s="198" t="inlineStr">
        <is>
          <t>S-Presso</t>
        </is>
      </c>
      <c r="D1529" s="199" t="inlineStr">
        <is>
          <t>S-Presso STD (O)</t>
        </is>
      </c>
      <c r="E1529" s="200" t="inlineStr">
        <is>
          <t>Solid Sizzle Orange</t>
        </is>
      </c>
    </row>
    <row r="1530" ht="15" customHeight="1">
      <c r="A1530" s="196" t="n">
        <v>1526</v>
      </c>
      <c r="B1530" s="197" t="inlineStr">
        <is>
          <t>Maruti Suzuki</t>
        </is>
      </c>
      <c r="C1530" s="198" t="inlineStr">
        <is>
          <t>S-Presso</t>
        </is>
      </c>
      <c r="D1530" s="199" t="inlineStr">
        <is>
          <t>S-Presso STD (O)</t>
        </is>
      </c>
      <c r="E1530" s="200" t="inlineStr">
        <is>
          <t>Solid White</t>
        </is>
      </c>
    </row>
    <row r="1531" ht="15" customHeight="1">
      <c r="A1531" s="196" t="n">
        <v>1527</v>
      </c>
      <c r="B1531" s="197" t="inlineStr">
        <is>
          <t>Maruti Suzuki</t>
        </is>
      </c>
      <c r="C1531" s="198" t="inlineStr">
        <is>
          <t>S-Presso</t>
        </is>
      </c>
      <c r="D1531" s="199" t="inlineStr">
        <is>
          <t>S-Presso VXi (O)</t>
        </is>
      </c>
      <c r="E1531" s="200" t="inlineStr">
        <is>
          <t>Metallic Granite Grey</t>
        </is>
      </c>
    </row>
    <row r="1532" ht="15" customHeight="1">
      <c r="A1532" s="196" t="n">
        <v>1528</v>
      </c>
      <c r="B1532" s="197" t="inlineStr">
        <is>
          <t>Maruti Suzuki</t>
        </is>
      </c>
      <c r="C1532" s="198" t="inlineStr">
        <is>
          <t>S-Presso</t>
        </is>
      </c>
      <c r="D1532" s="199" t="inlineStr">
        <is>
          <t>S-Presso VXi (O)</t>
        </is>
      </c>
      <c r="E1532" s="200" t="inlineStr">
        <is>
          <t>Metallic Silky Silver</t>
        </is>
      </c>
    </row>
    <row r="1533" ht="15" customHeight="1">
      <c r="A1533" s="196" t="n">
        <v>1529</v>
      </c>
      <c r="B1533" s="197" t="inlineStr">
        <is>
          <t>Maruti Suzuki</t>
        </is>
      </c>
      <c r="C1533" s="198" t="inlineStr">
        <is>
          <t>S-Presso</t>
        </is>
      </c>
      <c r="D1533" s="199" t="inlineStr">
        <is>
          <t>S-Presso VXi (O)</t>
        </is>
      </c>
      <c r="E1533" s="200" t="inlineStr">
        <is>
          <t>Pearl Starry Blue</t>
        </is>
      </c>
    </row>
    <row r="1534" ht="15" customHeight="1">
      <c r="A1534" s="196" t="n">
        <v>1530</v>
      </c>
      <c r="B1534" s="197" t="inlineStr">
        <is>
          <t>Maruti Suzuki</t>
        </is>
      </c>
      <c r="C1534" s="198" t="inlineStr">
        <is>
          <t>S-Presso</t>
        </is>
      </c>
      <c r="D1534" s="199" t="inlineStr">
        <is>
          <t>S-Presso VXi (O)</t>
        </is>
      </c>
      <c r="E1534" s="200" t="inlineStr">
        <is>
          <t>Solid Fire Red</t>
        </is>
      </c>
    </row>
    <row r="1535" ht="15" customHeight="1">
      <c r="A1535" s="196" t="n">
        <v>1531</v>
      </c>
      <c r="B1535" s="197" t="inlineStr">
        <is>
          <t>Maruti Suzuki</t>
        </is>
      </c>
      <c r="C1535" s="198" t="inlineStr">
        <is>
          <t>S-Presso</t>
        </is>
      </c>
      <c r="D1535" s="199" t="inlineStr">
        <is>
          <t>S-Presso VXi (O)</t>
        </is>
      </c>
      <c r="E1535" s="200" t="inlineStr">
        <is>
          <t>Solid Sizzle Orange</t>
        </is>
      </c>
    </row>
    <row r="1536" ht="15" customHeight="1">
      <c r="A1536" s="196" t="n">
        <v>1532</v>
      </c>
      <c r="B1536" s="197" t="inlineStr">
        <is>
          <t>Maruti Suzuki</t>
        </is>
      </c>
      <c r="C1536" s="198" t="inlineStr">
        <is>
          <t>S-Presso</t>
        </is>
      </c>
      <c r="D1536" s="199" t="inlineStr">
        <is>
          <t>S-Presso VXi (O)</t>
        </is>
      </c>
      <c r="E1536" s="200" t="inlineStr">
        <is>
          <t>Solid White</t>
        </is>
      </c>
    </row>
    <row r="1537" ht="15" customHeight="1">
      <c r="A1537" s="196" t="n">
        <v>1533</v>
      </c>
      <c r="B1537" s="197" t="inlineStr">
        <is>
          <t>Maruti Suzuki</t>
        </is>
      </c>
      <c r="C1537" s="198" t="inlineStr">
        <is>
          <t>S-Presso</t>
        </is>
      </c>
      <c r="D1537" s="199" t="inlineStr">
        <is>
          <t>S-Presso VXi Plus (O)</t>
        </is>
      </c>
      <c r="E1537" s="200" t="inlineStr">
        <is>
          <t>Metallic Granite Grey</t>
        </is>
      </c>
    </row>
    <row r="1538" ht="15" customHeight="1">
      <c r="A1538" s="196" t="n">
        <v>1534</v>
      </c>
      <c r="B1538" s="197" t="inlineStr">
        <is>
          <t>Maruti Suzuki</t>
        </is>
      </c>
      <c r="C1538" s="198" t="inlineStr">
        <is>
          <t>S-Presso</t>
        </is>
      </c>
      <c r="D1538" s="199" t="inlineStr">
        <is>
          <t>S-Presso VXi Plus (O)</t>
        </is>
      </c>
      <c r="E1538" s="200" t="inlineStr">
        <is>
          <t>Metallic Silky Silver</t>
        </is>
      </c>
    </row>
    <row r="1539" ht="15" customHeight="1">
      <c r="A1539" s="196" t="n">
        <v>1535</v>
      </c>
      <c r="B1539" s="197" t="inlineStr">
        <is>
          <t>Maruti Suzuki</t>
        </is>
      </c>
      <c r="C1539" s="198" t="inlineStr">
        <is>
          <t>S-Presso</t>
        </is>
      </c>
      <c r="D1539" s="199" t="inlineStr">
        <is>
          <t>S-Presso VXi Plus (O)</t>
        </is>
      </c>
      <c r="E1539" s="200" t="inlineStr">
        <is>
          <t>Pearl Starry Blue</t>
        </is>
      </c>
    </row>
    <row r="1540" ht="15" customHeight="1">
      <c r="A1540" s="196" t="n">
        <v>1536</v>
      </c>
      <c r="B1540" s="197" t="inlineStr">
        <is>
          <t>Maruti Suzuki</t>
        </is>
      </c>
      <c r="C1540" s="198" t="inlineStr">
        <is>
          <t>S-Presso</t>
        </is>
      </c>
      <c r="D1540" s="199" t="inlineStr">
        <is>
          <t>S-Presso VXi Plus (O)</t>
        </is>
      </c>
      <c r="E1540" s="200" t="inlineStr">
        <is>
          <t>Solid Fire Red</t>
        </is>
      </c>
    </row>
    <row r="1541" ht="15" customHeight="1">
      <c r="A1541" s="196" t="n">
        <v>1537</v>
      </c>
      <c r="B1541" s="197" t="inlineStr">
        <is>
          <t>Maruti Suzuki</t>
        </is>
      </c>
      <c r="C1541" s="198" t="inlineStr">
        <is>
          <t>S-Presso</t>
        </is>
      </c>
      <c r="D1541" s="199" t="inlineStr">
        <is>
          <t>S-Presso VXi Plus (O)</t>
        </is>
      </c>
      <c r="E1541" s="200" t="inlineStr">
        <is>
          <t>Solid Sizzle Orange</t>
        </is>
      </c>
    </row>
    <row r="1542" ht="15" customHeight="1">
      <c r="A1542" s="196" t="n">
        <v>1538</v>
      </c>
      <c r="B1542" s="197" t="inlineStr">
        <is>
          <t>Maruti Suzuki</t>
        </is>
      </c>
      <c r="C1542" s="198" t="inlineStr">
        <is>
          <t>S-Presso</t>
        </is>
      </c>
      <c r="D1542" s="199" t="inlineStr">
        <is>
          <t>S-Presso VXi Plus (O)</t>
        </is>
      </c>
      <c r="E1542" s="200" t="inlineStr">
        <is>
          <t>Solid White</t>
        </is>
      </c>
    </row>
    <row r="1543" ht="15" customHeight="1">
      <c r="A1543" s="196" t="n">
        <v>1539</v>
      </c>
      <c r="B1543" s="197" t="inlineStr">
        <is>
          <t>Maruti Suzuki</t>
        </is>
      </c>
      <c r="C1543" s="198" t="inlineStr">
        <is>
          <t>Swift</t>
        </is>
      </c>
      <c r="D1543" s="199" t="inlineStr">
        <is>
          <t>Swift LXi</t>
        </is>
      </c>
      <c r="E1543" s="200" t="inlineStr">
        <is>
          <t>Magma Grey</t>
        </is>
      </c>
    </row>
    <row r="1544" ht="15" customHeight="1">
      <c r="A1544" s="196" t="n">
        <v>1540</v>
      </c>
      <c r="B1544" s="197" t="inlineStr">
        <is>
          <t>Maruti Suzuki</t>
        </is>
      </c>
      <c r="C1544" s="198" t="inlineStr">
        <is>
          <t>Swift</t>
        </is>
      </c>
      <c r="D1544" s="199" t="inlineStr">
        <is>
          <t>Swift LXi</t>
        </is>
      </c>
      <c r="E1544" s="200" t="inlineStr">
        <is>
          <t>Pearl Arctic White</t>
        </is>
      </c>
    </row>
    <row r="1545" ht="15" customHeight="1">
      <c r="A1545" s="196" t="n">
        <v>1541</v>
      </c>
      <c r="B1545" s="197" t="inlineStr">
        <is>
          <t>Maruti Suzuki</t>
        </is>
      </c>
      <c r="C1545" s="198" t="inlineStr">
        <is>
          <t>Swift</t>
        </is>
      </c>
      <c r="D1545" s="199" t="inlineStr">
        <is>
          <t>Swift LXi</t>
        </is>
      </c>
      <c r="E1545" s="200" t="inlineStr">
        <is>
          <t>Sizzling Red</t>
        </is>
      </c>
    </row>
    <row r="1546" ht="15" customHeight="1">
      <c r="A1546" s="196" t="n">
        <v>1542</v>
      </c>
      <c r="B1546" s="197" t="inlineStr">
        <is>
          <t>Maruti Suzuki</t>
        </is>
      </c>
      <c r="C1546" s="198" t="inlineStr">
        <is>
          <t>Swift</t>
        </is>
      </c>
      <c r="D1546" s="199" t="inlineStr">
        <is>
          <t>Swift LXi</t>
        </is>
      </c>
      <c r="E1546" s="200" t="inlineStr">
        <is>
          <t>Splendid Silver</t>
        </is>
      </c>
    </row>
    <row r="1547" ht="15" customHeight="1">
      <c r="A1547" s="196" t="n">
        <v>1543</v>
      </c>
      <c r="B1547" s="197" t="inlineStr">
        <is>
          <t>Maruti Suzuki</t>
        </is>
      </c>
      <c r="C1547" s="198" t="inlineStr">
        <is>
          <t>Swift</t>
        </is>
      </c>
      <c r="D1547" s="199" t="inlineStr">
        <is>
          <t>Swift VXi</t>
        </is>
      </c>
      <c r="E1547" s="200" t="inlineStr">
        <is>
          <t>Luster Blue</t>
        </is>
      </c>
    </row>
    <row r="1548" ht="15" customHeight="1">
      <c r="A1548" s="196" t="n">
        <v>1544</v>
      </c>
      <c r="B1548" s="197" t="inlineStr">
        <is>
          <t>Maruti Suzuki</t>
        </is>
      </c>
      <c r="C1548" s="198" t="inlineStr">
        <is>
          <t>Swift</t>
        </is>
      </c>
      <c r="D1548" s="199" t="inlineStr">
        <is>
          <t>Swift VXi</t>
        </is>
      </c>
      <c r="E1548" s="200" t="inlineStr">
        <is>
          <t>Magma Grey</t>
        </is>
      </c>
    </row>
    <row r="1549" ht="15" customHeight="1">
      <c r="A1549" s="196" t="n">
        <v>1545</v>
      </c>
      <c r="B1549" s="197" t="inlineStr">
        <is>
          <t>Maruti Suzuki</t>
        </is>
      </c>
      <c r="C1549" s="198" t="inlineStr">
        <is>
          <t>Swift</t>
        </is>
      </c>
      <c r="D1549" s="199" t="inlineStr">
        <is>
          <t>Swift VXi</t>
        </is>
      </c>
      <c r="E1549" s="200" t="inlineStr">
        <is>
          <t>Novel Orange</t>
        </is>
      </c>
    </row>
    <row r="1550" ht="15" customHeight="1">
      <c r="A1550" s="196" t="n">
        <v>1546</v>
      </c>
      <c r="B1550" s="197" t="inlineStr">
        <is>
          <t>Maruti Suzuki</t>
        </is>
      </c>
      <c r="C1550" s="198" t="inlineStr">
        <is>
          <t>Swift</t>
        </is>
      </c>
      <c r="D1550" s="199" t="inlineStr">
        <is>
          <t>Swift VXi</t>
        </is>
      </c>
      <c r="E1550" s="200" t="inlineStr">
        <is>
          <t>Pearl Arctic White</t>
        </is>
      </c>
    </row>
    <row r="1551" ht="15" customHeight="1">
      <c r="A1551" s="196" t="n">
        <v>1547</v>
      </c>
      <c r="B1551" s="197" t="inlineStr">
        <is>
          <t>Maruti Suzuki</t>
        </is>
      </c>
      <c r="C1551" s="198" t="inlineStr">
        <is>
          <t>Swift</t>
        </is>
      </c>
      <c r="D1551" s="199" t="inlineStr">
        <is>
          <t>Swift VXi</t>
        </is>
      </c>
      <c r="E1551" s="200" t="inlineStr">
        <is>
          <t>Sizzling Red</t>
        </is>
      </c>
    </row>
    <row r="1552" ht="15" customHeight="1">
      <c r="A1552" s="196" t="n">
        <v>1548</v>
      </c>
      <c r="B1552" s="197" t="inlineStr">
        <is>
          <t>Maruti Suzuki</t>
        </is>
      </c>
      <c r="C1552" s="198" t="inlineStr">
        <is>
          <t>Swift</t>
        </is>
      </c>
      <c r="D1552" s="199" t="inlineStr">
        <is>
          <t>Swift VXi</t>
        </is>
      </c>
      <c r="E1552" s="200" t="inlineStr">
        <is>
          <t>Splendid Silver</t>
        </is>
      </c>
    </row>
    <row r="1553" ht="15" customHeight="1">
      <c r="A1553" s="196" t="n">
        <v>1549</v>
      </c>
      <c r="B1553" s="197" t="inlineStr">
        <is>
          <t>Maruti Suzuki</t>
        </is>
      </c>
      <c r="C1553" s="198" t="inlineStr">
        <is>
          <t>Swift</t>
        </is>
      </c>
      <c r="D1553" s="199" t="inlineStr">
        <is>
          <t>Swift VXi (O)</t>
        </is>
      </c>
      <c r="E1553" s="200" t="inlineStr">
        <is>
          <t>Luster Blue</t>
        </is>
      </c>
    </row>
    <row r="1554" ht="15" customHeight="1">
      <c r="A1554" s="196" t="n">
        <v>1550</v>
      </c>
      <c r="B1554" s="197" t="inlineStr">
        <is>
          <t>Maruti Suzuki</t>
        </is>
      </c>
      <c r="C1554" s="198" t="inlineStr">
        <is>
          <t>Swift</t>
        </is>
      </c>
      <c r="D1554" s="199" t="inlineStr">
        <is>
          <t>Swift VXi (O)</t>
        </is>
      </c>
      <c r="E1554" s="200" t="inlineStr">
        <is>
          <t>Magma Grey</t>
        </is>
      </c>
    </row>
    <row r="1555" ht="15" customHeight="1">
      <c r="A1555" s="196" t="n">
        <v>1551</v>
      </c>
      <c r="B1555" s="197" t="inlineStr">
        <is>
          <t>Maruti Suzuki</t>
        </is>
      </c>
      <c r="C1555" s="198" t="inlineStr">
        <is>
          <t>Swift</t>
        </is>
      </c>
      <c r="D1555" s="199" t="inlineStr">
        <is>
          <t>Swift VXi (O)</t>
        </is>
      </c>
      <c r="E1555" s="200" t="inlineStr">
        <is>
          <t>Novel Orange</t>
        </is>
      </c>
    </row>
    <row r="1556" ht="15" customHeight="1">
      <c r="A1556" s="196" t="n">
        <v>1552</v>
      </c>
      <c r="B1556" s="197" t="inlineStr">
        <is>
          <t>Maruti Suzuki</t>
        </is>
      </c>
      <c r="C1556" s="198" t="inlineStr">
        <is>
          <t>Swift</t>
        </is>
      </c>
      <c r="D1556" s="199" t="inlineStr">
        <is>
          <t>Swift VXi (O)</t>
        </is>
      </c>
      <c r="E1556" s="200" t="inlineStr">
        <is>
          <t>Pearl Arctic White</t>
        </is>
      </c>
    </row>
    <row r="1557" ht="15" customHeight="1">
      <c r="A1557" s="196" t="n">
        <v>1553</v>
      </c>
      <c r="B1557" s="197" t="inlineStr">
        <is>
          <t>Maruti Suzuki</t>
        </is>
      </c>
      <c r="C1557" s="198" t="inlineStr">
        <is>
          <t>Swift</t>
        </is>
      </c>
      <c r="D1557" s="199" t="inlineStr">
        <is>
          <t>Swift VXi (O)</t>
        </is>
      </c>
      <c r="E1557" s="200" t="inlineStr">
        <is>
          <t>Sizzling Red</t>
        </is>
      </c>
    </row>
    <row r="1558" ht="15" customHeight="1">
      <c r="A1558" s="196" t="n">
        <v>1554</v>
      </c>
      <c r="B1558" s="197" t="inlineStr">
        <is>
          <t>Maruti Suzuki</t>
        </is>
      </c>
      <c r="C1558" s="198" t="inlineStr">
        <is>
          <t>Swift</t>
        </is>
      </c>
      <c r="D1558" s="199" t="inlineStr">
        <is>
          <t>Swift VXi (O)</t>
        </is>
      </c>
      <c r="E1558" s="200" t="inlineStr">
        <is>
          <t>Splendid Silver</t>
        </is>
      </c>
    </row>
    <row r="1559" ht="15" customHeight="1">
      <c r="A1559" s="196" t="n">
        <v>1555</v>
      </c>
      <c r="B1559" s="197" t="inlineStr">
        <is>
          <t>Maruti Suzuki</t>
        </is>
      </c>
      <c r="C1559" s="198" t="inlineStr">
        <is>
          <t>Swift</t>
        </is>
      </c>
      <c r="D1559" s="199" t="inlineStr">
        <is>
          <t>Swift ZXi</t>
        </is>
      </c>
      <c r="E1559" s="200" t="inlineStr">
        <is>
          <t>Luster Blue</t>
        </is>
      </c>
    </row>
    <row r="1560" ht="15" customHeight="1">
      <c r="A1560" s="196" t="n">
        <v>1556</v>
      </c>
      <c r="B1560" s="197" t="inlineStr">
        <is>
          <t>Maruti Suzuki</t>
        </is>
      </c>
      <c r="C1560" s="198" t="inlineStr">
        <is>
          <t>Swift</t>
        </is>
      </c>
      <c r="D1560" s="199" t="inlineStr">
        <is>
          <t>Swift ZXi</t>
        </is>
      </c>
      <c r="E1560" s="200" t="inlineStr">
        <is>
          <t>Magma Grey</t>
        </is>
      </c>
    </row>
    <row r="1561" ht="15" customHeight="1">
      <c r="A1561" s="196" t="n">
        <v>1557</v>
      </c>
      <c r="B1561" s="197" t="inlineStr">
        <is>
          <t>Maruti Suzuki</t>
        </is>
      </c>
      <c r="C1561" s="198" t="inlineStr">
        <is>
          <t>Swift</t>
        </is>
      </c>
      <c r="D1561" s="199" t="inlineStr">
        <is>
          <t>Swift ZXi</t>
        </is>
      </c>
      <c r="E1561" s="200" t="inlineStr">
        <is>
          <t>Novel Orange</t>
        </is>
      </c>
    </row>
    <row r="1562" ht="15" customHeight="1">
      <c r="A1562" s="196" t="n">
        <v>1558</v>
      </c>
      <c r="B1562" s="197" t="inlineStr">
        <is>
          <t>Maruti Suzuki</t>
        </is>
      </c>
      <c r="C1562" s="198" t="inlineStr">
        <is>
          <t>Swift</t>
        </is>
      </c>
      <c r="D1562" s="199" t="inlineStr">
        <is>
          <t>Swift ZXi</t>
        </is>
      </c>
      <c r="E1562" s="200" t="inlineStr">
        <is>
          <t>Pearl Arctic White</t>
        </is>
      </c>
    </row>
    <row r="1563" ht="15" customHeight="1">
      <c r="A1563" s="196" t="n">
        <v>1559</v>
      </c>
      <c r="B1563" s="197" t="inlineStr">
        <is>
          <t>Maruti Suzuki</t>
        </is>
      </c>
      <c r="C1563" s="198" t="inlineStr">
        <is>
          <t>Swift</t>
        </is>
      </c>
      <c r="D1563" s="199" t="inlineStr">
        <is>
          <t>Swift ZXi</t>
        </is>
      </c>
      <c r="E1563" s="200" t="inlineStr">
        <is>
          <t>Sizzling Red</t>
        </is>
      </c>
    </row>
    <row r="1564" ht="15" customHeight="1">
      <c r="A1564" s="196" t="n">
        <v>1560</v>
      </c>
      <c r="B1564" s="197" t="inlineStr">
        <is>
          <t>Maruti Suzuki</t>
        </is>
      </c>
      <c r="C1564" s="198" t="inlineStr">
        <is>
          <t>Swift</t>
        </is>
      </c>
      <c r="D1564" s="199" t="inlineStr">
        <is>
          <t>Swift ZXi</t>
        </is>
      </c>
      <c r="E1564" s="200" t="inlineStr">
        <is>
          <t>Splendid Silver</t>
        </is>
      </c>
    </row>
    <row r="1565" ht="15" customHeight="1">
      <c r="A1565" s="196" t="n">
        <v>1561</v>
      </c>
      <c r="B1565" s="197" t="inlineStr">
        <is>
          <t>Maruti Suzuki</t>
        </is>
      </c>
      <c r="C1565" s="198" t="inlineStr">
        <is>
          <t>Swift</t>
        </is>
      </c>
      <c r="D1565" s="199" t="inlineStr">
        <is>
          <t>Swift ZXi Plus</t>
        </is>
      </c>
      <c r="E1565" s="200" t="inlineStr">
        <is>
          <t>Magma Grey</t>
        </is>
      </c>
    </row>
    <row r="1566" ht="15" customHeight="1">
      <c r="A1566" s="196" t="n">
        <v>1562</v>
      </c>
      <c r="B1566" s="197" t="inlineStr">
        <is>
          <t>Maruti Suzuki</t>
        </is>
      </c>
      <c r="C1566" s="198" t="inlineStr">
        <is>
          <t>Swift</t>
        </is>
      </c>
      <c r="D1566" s="199" t="inlineStr">
        <is>
          <t>Swift ZXi Plus</t>
        </is>
      </c>
      <c r="E1566" s="200" t="inlineStr">
        <is>
          <t>Novel Orange</t>
        </is>
      </c>
    </row>
    <row r="1567" ht="15" customHeight="1">
      <c r="A1567" s="196" t="n">
        <v>1563</v>
      </c>
      <c r="B1567" s="197" t="inlineStr">
        <is>
          <t>Maruti Suzuki</t>
        </is>
      </c>
      <c r="C1567" s="198" t="inlineStr">
        <is>
          <t>Swift</t>
        </is>
      </c>
      <c r="D1567" s="199" t="inlineStr">
        <is>
          <t>Swift ZXi Plus</t>
        </is>
      </c>
      <c r="E1567" s="200" t="inlineStr">
        <is>
          <t>Pearl Arctic White</t>
        </is>
      </c>
    </row>
    <row r="1568" ht="15" customHeight="1">
      <c r="A1568" s="196" t="n">
        <v>1564</v>
      </c>
      <c r="B1568" s="197" t="inlineStr">
        <is>
          <t>Maruti Suzuki</t>
        </is>
      </c>
      <c r="C1568" s="198" t="inlineStr">
        <is>
          <t>Swift</t>
        </is>
      </c>
      <c r="D1568" s="199" t="inlineStr">
        <is>
          <t>Swift ZXi Plus</t>
        </is>
      </c>
      <c r="E1568" s="200" t="inlineStr">
        <is>
          <t>Splendid Silver</t>
        </is>
      </c>
    </row>
    <row r="1569" ht="15" customHeight="1">
      <c r="A1569" s="196" t="n">
        <v>1565</v>
      </c>
      <c r="B1569" s="197" t="inlineStr">
        <is>
          <t>Maruti Suzuki</t>
        </is>
      </c>
      <c r="C1569" s="198" t="inlineStr">
        <is>
          <t>Swift Dzire</t>
        </is>
      </c>
      <c r="D1569" s="199" t="inlineStr">
        <is>
          <t>Swift Dzire [2015-2017] LDI</t>
        </is>
      </c>
      <c r="E1569" s="200" t="inlineStr">
        <is>
          <t>swift-dzire</t>
        </is>
      </c>
    </row>
    <row r="1570" ht="15" customHeight="1">
      <c r="A1570" s="196" t="n">
        <v>1566</v>
      </c>
      <c r="B1570" s="197" t="inlineStr">
        <is>
          <t>Maruti Suzuki</t>
        </is>
      </c>
      <c r="C1570" s="198" t="inlineStr">
        <is>
          <t>Swift Dzire</t>
        </is>
      </c>
      <c r="D1570" s="199" t="inlineStr">
        <is>
          <t>Swift Dzire [2015-2017] LXI</t>
        </is>
      </c>
      <c r="E1570" s="200" t="inlineStr">
        <is>
          <t>swift-dzire</t>
        </is>
      </c>
    </row>
    <row r="1571" ht="15" customHeight="1">
      <c r="A1571" s="196" t="n">
        <v>1567</v>
      </c>
      <c r="B1571" s="197" t="inlineStr">
        <is>
          <t>Maruti Suzuki</t>
        </is>
      </c>
      <c r="C1571" s="198" t="inlineStr">
        <is>
          <t>Swift Dzire</t>
        </is>
      </c>
      <c r="D1571" s="199" t="inlineStr">
        <is>
          <t>Swift Dzire [2015-2017] LXI (O)</t>
        </is>
      </c>
      <c r="E1571" s="200" t="inlineStr">
        <is>
          <t>swift-dzire</t>
        </is>
      </c>
    </row>
    <row r="1572" ht="15" customHeight="1">
      <c r="A1572" s="196" t="n">
        <v>1568</v>
      </c>
      <c r="B1572" s="197" t="inlineStr">
        <is>
          <t>Maruti Suzuki</t>
        </is>
      </c>
      <c r="C1572" s="198" t="inlineStr">
        <is>
          <t>Swift Dzire</t>
        </is>
      </c>
      <c r="D1572" s="199" t="inlineStr">
        <is>
          <t>Swift Dzire [2015-2017] VDI</t>
        </is>
      </c>
      <c r="E1572" s="200" t="inlineStr">
        <is>
          <t>swift-dzire</t>
        </is>
      </c>
    </row>
    <row r="1573" ht="15" customHeight="1">
      <c r="A1573" s="196" t="n">
        <v>1569</v>
      </c>
      <c r="B1573" s="197" t="inlineStr">
        <is>
          <t>Maruti Suzuki</t>
        </is>
      </c>
      <c r="C1573" s="198" t="inlineStr">
        <is>
          <t>Swift Dzire</t>
        </is>
      </c>
      <c r="D1573" s="199" t="inlineStr">
        <is>
          <t>Swift Dzire [2015-2017] VXI</t>
        </is>
      </c>
      <c r="E1573" s="200" t="inlineStr">
        <is>
          <t>swift-dzire</t>
        </is>
      </c>
    </row>
    <row r="1574" ht="15" customHeight="1">
      <c r="A1574" s="196" t="n">
        <v>1570</v>
      </c>
      <c r="B1574" s="197" t="inlineStr">
        <is>
          <t>Maruti Suzuki</t>
        </is>
      </c>
      <c r="C1574" s="198" t="inlineStr">
        <is>
          <t>Swift Dzire</t>
        </is>
      </c>
      <c r="D1574" s="199" t="inlineStr">
        <is>
          <t>Swift Dzire [2015-2017] ZDI</t>
        </is>
      </c>
      <c r="E1574" s="200" t="inlineStr">
        <is>
          <t>swift-dzire</t>
        </is>
      </c>
    </row>
    <row r="1575" ht="15" customHeight="1">
      <c r="A1575" s="196" t="n">
        <v>1571</v>
      </c>
      <c r="B1575" s="197" t="inlineStr">
        <is>
          <t>Maruti Suzuki</t>
        </is>
      </c>
      <c r="C1575" s="198" t="inlineStr">
        <is>
          <t>Swift Dzire</t>
        </is>
      </c>
      <c r="D1575" s="199" t="inlineStr">
        <is>
          <t>Swift Dzire [2015-2017] ZXI</t>
        </is>
      </c>
      <c r="E1575" s="200" t="inlineStr">
        <is>
          <t>swift-dzire</t>
        </is>
      </c>
    </row>
    <row r="1576" ht="15" customHeight="1">
      <c r="A1576" s="196" t="n">
        <v>1572</v>
      </c>
      <c r="B1576" s="197" t="inlineStr">
        <is>
          <t>Maruti Suzuki</t>
        </is>
      </c>
      <c r="C1576" s="198" t="inlineStr">
        <is>
          <t>Victoris</t>
        </is>
      </c>
      <c r="D1576" s="199" t="inlineStr">
        <is>
          <t>Victoris LXi</t>
        </is>
      </c>
      <c r="E1576" s="200" t="inlineStr">
        <is>
          <t>Magma Grey</t>
        </is>
      </c>
    </row>
    <row r="1577" ht="15" customHeight="1">
      <c r="A1577" s="196" t="n">
        <v>1573</v>
      </c>
      <c r="B1577" s="197" t="inlineStr">
        <is>
          <t>Maruti Suzuki</t>
        </is>
      </c>
      <c r="C1577" s="198" t="inlineStr">
        <is>
          <t>Victoris</t>
        </is>
      </c>
      <c r="D1577" s="199" t="inlineStr">
        <is>
          <t>Victoris LXi</t>
        </is>
      </c>
      <c r="E1577" s="200" t="inlineStr">
        <is>
          <t>Pearl Arctic White</t>
        </is>
      </c>
    </row>
    <row r="1578" ht="15" customHeight="1">
      <c r="A1578" s="196" t="n">
        <v>1574</v>
      </c>
      <c r="B1578" s="197" t="inlineStr">
        <is>
          <t>Maruti Suzuki</t>
        </is>
      </c>
      <c r="C1578" s="198" t="inlineStr">
        <is>
          <t>Victoris</t>
        </is>
      </c>
      <c r="D1578" s="199" t="inlineStr">
        <is>
          <t>Victoris LXi</t>
        </is>
      </c>
      <c r="E1578" s="200" t="inlineStr">
        <is>
          <t>Splendid Silver</t>
        </is>
      </c>
    </row>
    <row r="1579" ht="15" customHeight="1">
      <c r="A1579" s="196" t="n">
        <v>1575</v>
      </c>
      <c r="B1579" s="197" t="inlineStr">
        <is>
          <t>Maruti Suzuki</t>
        </is>
      </c>
      <c r="C1579" s="198" t="inlineStr">
        <is>
          <t>Victoris</t>
        </is>
      </c>
      <c r="D1579" s="199" t="inlineStr">
        <is>
          <t>Victoris VXi</t>
        </is>
      </c>
      <c r="E1579" s="200" t="inlineStr">
        <is>
          <t>Eternal Blue</t>
        </is>
      </c>
    </row>
    <row r="1580" ht="15" customHeight="1">
      <c r="A1580" s="196" t="n">
        <v>1576</v>
      </c>
      <c r="B1580" s="197" t="inlineStr">
        <is>
          <t>Maruti Suzuki</t>
        </is>
      </c>
      <c r="C1580" s="198" t="inlineStr">
        <is>
          <t>Victoris</t>
        </is>
      </c>
      <c r="D1580" s="199" t="inlineStr">
        <is>
          <t>Victoris VXi</t>
        </is>
      </c>
      <c r="E1580" s="200" t="inlineStr">
        <is>
          <t>Magma Grey</t>
        </is>
      </c>
    </row>
    <row r="1581" ht="15" customHeight="1">
      <c r="A1581" s="196" t="n">
        <v>1577</v>
      </c>
      <c r="B1581" s="197" t="inlineStr">
        <is>
          <t>Maruti Suzuki</t>
        </is>
      </c>
      <c r="C1581" s="198" t="inlineStr">
        <is>
          <t>Victoris</t>
        </is>
      </c>
      <c r="D1581" s="199" t="inlineStr">
        <is>
          <t>Victoris VXi</t>
        </is>
      </c>
      <c r="E1581" s="200" t="inlineStr">
        <is>
          <t>Pearl Arctic White</t>
        </is>
      </c>
    </row>
    <row r="1582" ht="15" customHeight="1">
      <c r="A1582" s="196" t="n">
        <v>1578</v>
      </c>
      <c r="B1582" s="197" t="inlineStr">
        <is>
          <t>Maruti Suzuki</t>
        </is>
      </c>
      <c r="C1582" s="198" t="inlineStr">
        <is>
          <t>Victoris</t>
        </is>
      </c>
      <c r="D1582" s="199" t="inlineStr">
        <is>
          <t>Victoris VXi</t>
        </is>
      </c>
      <c r="E1582" s="200" t="inlineStr">
        <is>
          <t>Sizzling Red</t>
        </is>
      </c>
    </row>
    <row r="1583" ht="15" customHeight="1">
      <c r="A1583" s="196" t="n">
        <v>1579</v>
      </c>
      <c r="B1583" s="197" t="inlineStr">
        <is>
          <t>Maruti Suzuki</t>
        </is>
      </c>
      <c r="C1583" s="198" t="inlineStr">
        <is>
          <t>Victoris</t>
        </is>
      </c>
      <c r="D1583" s="199" t="inlineStr">
        <is>
          <t>Victoris VXi</t>
        </is>
      </c>
      <c r="E1583" s="200" t="inlineStr">
        <is>
          <t>Splendid Silver</t>
        </is>
      </c>
    </row>
    <row r="1584" ht="15" customHeight="1">
      <c r="A1584" s="196" t="n">
        <v>1580</v>
      </c>
      <c r="B1584" s="197" t="inlineStr">
        <is>
          <t>Maruti Suzuki</t>
        </is>
      </c>
      <c r="C1584" s="198" t="inlineStr">
        <is>
          <t>Victoris</t>
        </is>
      </c>
      <c r="D1584" s="199" t="inlineStr">
        <is>
          <t>Victoris ZXi</t>
        </is>
      </c>
      <c r="E1584" s="200" t="inlineStr">
        <is>
          <t>Eternal Blue</t>
        </is>
      </c>
    </row>
    <row r="1585" ht="15" customHeight="1">
      <c r="A1585" s="196" t="n">
        <v>1581</v>
      </c>
      <c r="B1585" s="197" t="inlineStr">
        <is>
          <t>Maruti Suzuki</t>
        </is>
      </c>
      <c r="C1585" s="198" t="inlineStr">
        <is>
          <t>Victoris</t>
        </is>
      </c>
      <c r="D1585" s="199" t="inlineStr">
        <is>
          <t>Victoris ZXi</t>
        </is>
      </c>
      <c r="E1585" s="200" t="inlineStr">
        <is>
          <t>Eternal Blue with Bluish Black Roof</t>
        </is>
      </c>
    </row>
    <row r="1586" ht="15" customHeight="1">
      <c r="A1586" s="196" t="n">
        <v>1582</v>
      </c>
      <c r="B1586" s="197" t="inlineStr">
        <is>
          <t>Maruti Suzuki</t>
        </is>
      </c>
      <c r="C1586" s="198" t="inlineStr">
        <is>
          <t>Victoris</t>
        </is>
      </c>
      <c r="D1586" s="199" t="inlineStr">
        <is>
          <t>Victoris ZXi</t>
        </is>
      </c>
      <c r="E1586" s="200" t="inlineStr">
        <is>
          <t>Magma Grey</t>
        </is>
      </c>
    </row>
    <row r="1587" ht="15" customHeight="1">
      <c r="A1587" s="196" t="n">
        <v>1583</v>
      </c>
      <c r="B1587" s="197" t="inlineStr">
        <is>
          <t>Maruti Suzuki</t>
        </is>
      </c>
      <c r="C1587" s="198" t="inlineStr">
        <is>
          <t>Victoris</t>
        </is>
      </c>
      <c r="D1587" s="199" t="inlineStr">
        <is>
          <t>Victoris ZXi</t>
        </is>
      </c>
      <c r="E1587" s="200" t="inlineStr">
        <is>
          <t>Pearl Arctic White</t>
        </is>
      </c>
    </row>
    <row r="1588" ht="15" customHeight="1">
      <c r="A1588" s="196" t="n">
        <v>1584</v>
      </c>
      <c r="B1588" s="197" t="inlineStr">
        <is>
          <t>Maruti Suzuki</t>
        </is>
      </c>
      <c r="C1588" s="198" t="inlineStr">
        <is>
          <t>Victoris</t>
        </is>
      </c>
      <c r="D1588" s="199" t="inlineStr">
        <is>
          <t>Victoris ZXi</t>
        </is>
      </c>
      <c r="E1588" s="200" t="inlineStr">
        <is>
          <t>Sizzling Red</t>
        </is>
      </c>
    </row>
    <row r="1589" ht="15" customHeight="1">
      <c r="A1589" s="196" t="n">
        <v>1585</v>
      </c>
      <c r="B1589" s="197" t="inlineStr">
        <is>
          <t>Maruti Suzuki</t>
        </is>
      </c>
      <c r="C1589" s="198" t="inlineStr">
        <is>
          <t>Victoris</t>
        </is>
      </c>
      <c r="D1589" s="199" t="inlineStr">
        <is>
          <t>Victoris ZXi</t>
        </is>
      </c>
      <c r="E1589" s="200" t="inlineStr">
        <is>
          <t>Sizzling Red with Bluish Black Roof</t>
        </is>
      </c>
    </row>
    <row r="1590" ht="15" customHeight="1">
      <c r="A1590" s="196" t="n">
        <v>1586</v>
      </c>
      <c r="B1590" s="197" t="inlineStr">
        <is>
          <t>Maruti Suzuki</t>
        </is>
      </c>
      <c r="C1590" s="198" t="inlineStr">
        <is>
          <t>Victoris</t>
        </is>
      </c>
      <c r="D1590" s="199" t="inlineStr">
        <is>
          <t>Victoris ZXi</t>
        </is>
      </c>
      <c r="E1590" s="200" t="inlineStr">
        <is>
          <t>Splendid Silver</t>
        </is>
      </c>
    </row>
    <row r="1591" ht="15" customHeight="1">
      <c r="A1591" s="196" t="n">
        <v>1587</v>
      </c>
      <c r="B1591" s="197" t="inlineStr">
        <is>
          <t>Maruti Suzuki</t>
        </is>
      </c>
      <c r="C1591" s="198" t="inlineStr">
        <is>
          <t>Victoris</t>
        </is>
      </c>
      <c r="D1591" s="199" t="inlineStr">
        <is>
          <t>Victoris ZXi</t>
        </is>
      </c>
      <c r="E1591" s="200" t="inlineStr">
        <is>
          <t>Splendid Silver with Bluish Black Roof</t>
        </is>
      </c>
    </row>
    <row r="1592" ht="15" customHeight="1">
      <c r="A1592" s="196" t="n">
        <v>1588</v>
      </c>
      <c r="B1592" s="197" t="inlineStr">
        <is>
          <t>Maruti Suzuki</t>
        </is>
      </c>
      <c r="C1592" s="198" t="inlineStr">
        <is>
          <t>Victoris</t>
        </is>
      </c>
      <c r="D1592" s="199" t="inlineStr">
        <is>
          <t>Victoris ZXi (O)</t>
        </is>
      </c>
      <c r="E1592" s="200" t="inlineStr">
        <is>
          <t>Bluish Black</t>
        </is>
      </c>
    </row>
    <row r="1593" ht="15" customHeight="1">
      <c r="A1593" s="196" t="n">
        <v>1589</v>
      </c>
      <c r="B1593" s="197" t="inlineStr">
        <is>
          <t>Maruti Suzuki</t>
        </is>
      </c>
      <c r="C1593" s="198" t="inlineStr">
        <is>
          <t>Victoris</t>
        </is>
      </c>
      <c r="D1593" s="199" t="inlineStr">
        <is>
          <t>Victoris ZXi (O)</t>
        </is>
      </c>
      <c r="E1593" s="200" t="inlineStr">
        <is>
          <t>Eternal Blue with Bluish Black Roof</t>
        </is>
      </c>
    </row>
    <row r="1594" ht="15" customHeight="1">
      <c r="A1594" s="196" t="n">
        <v>1590</v>
      </c>
      <c r="B1594" s="197" t="inlineStr">
        <is>
          <t>Maruti Suzuki</t>
        </is>
      </c>
      <c r="C1594" s="198" t="inlineStr">
        <is>
          <t>Victoris</t>
        </is>
      </c>
      <c r="D1594" s="199" t="inlineStr">
        <is>
          <t>Victoris ZXi (O)</t>
        </is>
      </c>
      <c r="E1594" s="200" t="inlineStr">
        <is>
          <t>Magma Grey</t>
        </is>
      </c>
    </row>
    <row r="1595" ht="15" customHeight="1">
      <c r="A1595" s="196" t="n">
        <v>1591</v>
      </c>
      <c r="B1595" s="197" t="inlineStr">
        <is>
          <t>Maruti Suzuki</t>
        </is>
      </c>
      <c r="C1595" s="198" t="inlineStr">
        <is>
          <t>Victoris</t>
        </is>
      </c>
      <c r="D1595" s="199" t="inlineStr">
        <is>
          <t>Victoris ZXi (O)</t>
        </is>
      </c>
      <c r="E1595" s="200" t="inlineStr">
        <is>
          <t>Mystic Green</t>
        </is>
      </c>
    </row>
    <row r="1596" ht="15" customHeight="1">
      <c r="A1596" s="196" t="n">
        <v>1592</v>
      </c>
      <c r="B1596" s="197" t="inlineStr">
        <is>
          <t>Maruti Suzuki</t>
        </is>
      </c>
      <c r="C1596" s="198" t="inlineStr">
        <is>
          <t>Victoris</t>
        </is>
      </c>
      <c r="D1596" s="199" t="inlineStr">
        <is>
          <t>Victoris ZXi (O)</t>
        </is>
      </c>
      <c r="E1596" s="200" t="inlineStr">
        <is>
          <t>Pearl Arctic White</t>
        </is>
      </c>
    </row>
    <row r="1597" ht="15" customHeight="1">
      <c r="A1597" s="196" t="n">
        <v>1593</v>
      </c>
      <c r="B1597" s="197" t="inlineStr">
        <is>
          <t>Maruti Suzuki</t>
        </is>
      </c>
      <c r="C1597" s="198" t="inlineStr">
        <is>
          <t>Victoris</t>
        </is>
      </c>
      <c r="D1597" s="199" t="inlineStr">
        <is>
          <t>Victoris ZXi (O)</t>
        </is>
      </c>
      <c r="E1597" s="200" t="inlineStr">
        <is>
          <t>Sizzling Red with Bluish Black Roof</t>
        </is>
      </c>
    </row>
    <row r="1598" ht="15" customHeight="1">
      <c r="A1598" s="196" t="n">
        <v>1594</v>
      </c>
      <c r="B1598" s="197" t="inlineStr">
        <is>
          <t>Maruti Suzuki</t>
        </is>
      </c>
      <c r="C1598" s="198" t="inlineStr">
        <is>
          <t>Victoris</t>
        </is>
      </c>
      <c r="D1598" s="199" t="inlineStr">
        <is>
          <t>Victoris ZXi (O)</t>
        </is>
      </c>
      <c r="E1598" s="200" t="inlineStr">
        <is>
          <t>Splendid Silver</t>
        </is>
      </c>
    </row>
    <row r="1599" ht="15" customHeight="1">
      <c r="A1599" s="196" t="n">
        <v>1595</v>
      </c>
      <c r="B1599" s="197" t="inlineStr">
        <is>
          <t>Maruti Suzuki</t>
        </is>
      </c>
      <c r="C1599" s="198" t="inlineStr">
        <is>
          <t>Victoris</t>
        </is>
      </c>
      <c r="D1599" s="199" t="inlineStr">
        <is>
          <t>Victoris ZXi (O)</t>
        </is>
      </c>
      <c r="E1599" s="200" t="inlineStr">
        <is>
          <t>Splendid Silver with Bluish Black Roof</t>
        </is>
      </c>
    </row>
    <row r="1600" ht="15" customHeight="1">
      <c r="A1600" s="196" t="n">
        <v>1596</v>
      </c>
      <c r="B1600" s="197" t="inlineStr">
        <is>
          <t>Maruti Suzuki</t>
        </is>
      </c>
      <c r="C1600" s="198" t="inlineStr">
        <is>
          <t>Victoris</t>
        </is>
      </c>
      <c r="D1600" s="199" t="inlineStr">
        <is>
          <t>Victoris ZXi Plus</t>
        </is>
      </c>
      <c r="E1600" s="200" t="inlineStr">
        <is>
          <t>Bluish Black</t>
        </is>
      </c>
    </row>
    <row r="1601" ht="15" customHeight="1">
      <c r="A1601" s="196" t="n">
        <v>1597</v>
      </c>
      <c r="B1601" s="197" t="inlineStr">
        <is>
          <t>Maruti Suzuki</t>
        </is>
      </c>
      <c r="C1601" s="198" t="inlineStr">
        <is>
          <t>Victoris</t>
        </is>
      </c>
      <c r="D1601" s="199" t="inlineStr">
        <is>
          <t>Victoris ZXi Plus</t>
        </is>
      </c>
      <c r="E1601" s="200" t="inlineStr">
        <is>
          <t>Eternal Blue with Bluish Black Roof</t>
        </is>
      </c>
    </row>
    <row r="1602" ht="15" customHeight="1">
      <c r="A1602" s="196" t="n">
        <v>1598</v>
      </c>
      <c r="B1602" s="197" t="inlineStr">
        <is>
          <t>Maruti Suzuki</t>
        </is>
      </c>
      <c r="C1602" s="198" t="inlineStr">
        <is>
          <t>Victoris</t>
        </is>
      </c>
      <c r="D1602" s="199" t="inlineStr">
        <is>
          <t>Victoris ZXi Plus</t>
        </is>
      </c>
      <c r="E1602" s="200" t="inlineStr">
        <is>
          <t>Magma Grey</t>
        </is>
      </c>
    </row>
    <row r="1603" ht="15" customHeight="1">
      <c r="A1603" s="196" t="n">
        <v>1599</v>
      </c>
      <c r="B1603" s="197" t="inlineStr">
        <is>
          <t>Maruti Suzuki</t>
        </is>
      </c>
      <c r="C1603" s="198" t="inlineStr">
        <is>
          <t>Victoris</t>
        </is>
      </c>
      <c r="D1603" s="199" t="inlineStr">
        <is>
          <t>Victoris ZXi Plus</t>
        </is>
      </c>
      <c r="E1603" s="200" t="inlineStr">
        <is>
          <t>Mystic Green</t>
        </is>
      </c>
    </row>
    <row r="1604" ht="15" customHeight="1">
      <c r="A1604" s="196" t="n">
        <v>1600</v>
      </c>
      <c r="B1604" s="197" t="inlineStr">
        <is>
          <t>Maruti Suzuki</t>
        </is>
      </c>
      <c r="C1604" s="198" t="inlineStr">
        <is>
          <t>Victoris</t>
        </is>
      </c>
      <c r="D1604" s="199" t="inlineStr">
        <is>
          <t>Victoris ZXi Plus</t>
        </is>
      </c>
      <c r="E1604" s="200" t="inlineStr">
        <is>
          <t>Pearl Arctic White</t>
        </is>
      </c>
    </row>
    <row r="1605" ht="15" customHeight="1">
      <c r="A1605" s="196" t="n">
        <v>1601</v>
      </c>
      <c r="B1605" s="197" t="inlineStr">
        <is>
          <t>Maruti Suzuki</t>
        </is>
      </c>
      <c r="C1605" s="198" t="inlineStr">
        <is>
          <t>Victoris</t>
        </is>
      </c>
      <c r="D1605" s="199" t="inlineStr">
        <is>
          <t>Victoris ZXi Plus</t>
        </is>
      </c>
      <c r="E1605" s="200" t="inlineStr">
        <is>
          <t>Sizzling Red with Bluish Black Roof</t>
        </is>
      </c>
    </row>
    <row r="1606" ht="15" customHeight="1">
      <c r="A1606" s="196" t="n">
        <v>1602</v>
      </c>
      <c r="B1606" s="197" t="inlineStr">
        <is>
          <t>Maruti Suzuki</t>
        </is>
      </c>
      <c r="C1606" s="198" t="inlineStr">
        <is>
          <t>Victoris</t>
        </is>
      </c>
      <c r="D1606" s="199" t="inlineStr">
        <is>
          <t>Victoris ZXi Plus</t>
        </is>
      </c>
      <c r="E1606" s="200" t="inlineStr">
        <is>
          <t>Splendid Silver</t>
        </is>
      </c>
    </row>
    <row r="1607" ht="15" customHeight="1">
      <c r="A1607" s="196" t="n">
        <v>1603</v>
      </c>
      <c r="B1607" s="197" t="inlineStr">
        <is>
          <t>Maruti Suzuki</t>
        </is>
      </c>
      <c r="C1607" s="198" t="inlineStr">
        <is>
          <t>Victoris</t>
        </is>
      </c>
      <c r="D1607" s="199" t="inlineStr">
        <is>
          <t>Victoris ZXi Plus</t>
        </is>
      </c>
      <c r="E1607" s="200" t="inlineStr">
        <is>
          <t>Splendid Silver with Bluish Black Roof</t>
        </is>
      </c>
    </row>
    <row r="1608" ht="15" customHeight="1">
      <c r="A1608" s="196" t="n">
        <v>1604</v>
      </c>
      <c r="B1608" s="197" t="inlineStr">
        <is>
          <t>Maruti Suzuki</t>
        </is>
      </c>
      <c r="C1608" s="198" t="inlineStr">
        <is>
          <t>Victoris</t>
        </is>
      </c>
      <c r="D1608" s="199" t="inlineStr">
        <is>
          <t>Victoris ZXi Plus (O)</t>
        </is>
      </c>
      <c r="E1608" s="200" t="inlineStr">
        <is>
          <t>Bluish Black</t>
        </is>
      </c>
    </row>
    <row r="1609" ht="15" customHeight="1">
      <c r="A1609" s="196" t="n">
        <v>1605</v>
      </c>
      <c r="B1609" s="197" t="inlineStr">
        <is>
          <t>Maruti Suzuki</t>
        </is>
      </c>
      <c r="C1609" s="198" t="inlineStr">
        <is>
          <t>Victoris</t>
        </is>
      </c>
      <c r="D1609" s="199" t="inlineStr">
        <is>
          <t>Victoris ZXi Plus (O)</t>
        </is>
      </c>
      <c r="E1609" s="200" t="inlineStr">
        <is>
          <t>Eternal Blue with Bluish Black Roof</t>
        </is>
      </c>
    </row>
    <row r="1610" ht="15" customHeight="1">
      <c r="A1610" s="196" t="n">
        <v>1606</v>
      </c>
      <c r="B1610" s="197" t="inlineStr">
        <is>
          <t>Maruti Suzuki</t>
        </is>
      </c>
      <c r="C1610" s="198" t="inlineStr">
        <is>
          <t>Victoris</t>
        </is>
      </c>
      <c r="D1610" s="199" t="inlineStr">
        <is>
          <t>Victoris ZXi Plus (O)</t>
        </is>
      </c>
      <c r="E1610" s="200" t="inlineStr">
        <is>
          <t>Magma Grey</t>
        </is>
      </c>
    </row>
    <row r="1611" ht="15" customHeight="1">
      <c r="A1611" s="196" t="n">
        <v>1607</v>
      </c>
      <c r="B1611" s="197" t="inlineStr">
        <is>
          <t>Maruti Suzuki</t>
        </is>
      </c>
      <c r="C1611" s="198" t="inlineStr">
        <is>
          <t>Victoris</t>
        </is>
      </c>
      <c r="D1611" s="199" t="inlineStr">
        <is>
          <t>Victoris ZXi Plus (O)</t>
        </is>
      </c>
      <c r="E1611" s="200" t="inlineStr">
        <is>
          <t>Mystic Green</t>
        </is>
      </c>
    </row>
    <row r="1612" ht="15" customHeight="1">
      <c r="A1612" s="196" t="n">
        <v>1608</v>
      </c>
      <c r="B1612" s="197" t="inlineStr">
        <is>
          <t>Maruti Suzuki</t>
        </is>
      </c>
      <c r="C1612" s="198" t="inlineStr">
        <is>
          <t>Victoris</t>
        </is>
      </c>
      <c r="D1612" s="199" t="inlineStr">
        <is>
          <t>Victoris ZXi Plus (O)</t>
        </is>
      </c>
      <c r="E1612" s="200" t="inlineStr">
        <is>
          <t>Pearl Arctic White</t>
        </is>
      </c>
    </row>
    <row r="1613" ht="15" customHeight="1">
      <c r="A1613" s="196" t="n">
        <v>1609</v>
      </c>
      <c r="B1613" s="197" t="inlineStr">
        <is>
          <t>Maruti Suzuki</t>
        </is>
      </c>
      <c r="C1613" s="198" t="inlineStr">
        <is>
          <t>Victoris</t>
        </is>
      </c>
      <c r="D1613" s="199" t="inlineStr">
        <is>
          <t>Victoris ZXi Plus (O)</t>
        </is>
      </c>
      <c r="E1613" s="200" t="inlineStr">
        <is>
          <t>Sizzling Red with Bluish Black Roof</t>
        </is>
      </c>
    </row>
    <row r="1614" ht="15" customHeight="1">
      <c r="A1614" s="196" t="n">
        <v>1610</v>
      </c>
      <c r="B1614" s="197" t="inlineStr">
        <is>
          <t>Maruti Suzuki</t>
        </is>
      </c>
      <c r="C1614" s="198" t="inlineStr">
        <is>
          <t>Victoris</t>
        </is>
      </c>
      <c r="D1614" s="199" t="inlineStr">
        <is>
          <t>Victoris ZXi Plus (O)</t>
        </is>
      </c>
      <c r="E1614" s="200" t="inlineStr">
        <is>
          <t>Splendid Silver</t>
        </is>
      </c>
    </row>
    <row r="1615" ht="15" customHeight="1">
      <c r="A1615" s="196" t="n">
        <v>1611</v>
      </c>
      <c r="B1615" s="197" t="inlineStr">
        <is>
          <t>Maruti Suzuki</t>
        </is>
      </c>
      <c r="C1615" s="198" t="inlineStr">
        <is>
          <t>Victoris</t>
        </is>
      </c>
      <c r="D1615" s="199" t="inlineStr">
        <is>
          <t>Victoris ZXi Plus (O)</t>
        </is>
      </c>
      <c r="E1615" s="200" t="inlineStr">
        <is>
          <t>Splendid Silver with Bluish Black Roof</t>
        </is>
      </c>
    </row>
    <row r="1616" ht="15" customHeight="1">
      <c r="A1616" s="196" t="n">
        <v>1612</v>
      </c>
      <c r="B1616" s="197" t="inlineStr">
        <is>
          <t>Maruti Suzuki</t>
        </is>
      </c>
      <c r="C1616" s="198" t="inlineStr">
        <is>
          <t>WagnoR</t>
        </is>
      </c>
      <c r="D1616" s="199" t="inlineStr">
        <is>
          <t>Wagon R LXi</t>
        </is>
      </c>
      <c r="E1616" s="200" t="inlineStr">
        <is>
          <t>Metallic Magma Grey</t>
        </is>
      </c>
    </row>
    <row r="1617" ht="15" customHeight="1">
      <c r="A1617" s="196" t="n">
        <v>1613</v>
      </c>
      <c r="B1617" s="197" t="inlineStr">
        <is>
          <t>Maruti Suzuki</t>
        </is>
      </c>
      <c r="C1617" s="198" t="inlineStr">
        <is>
          <t>WagnoR</t>
        </is>
      </c>
      <c r="D1617" s="199" t="inlineStr">
        <is>
          <t>Wagon R LXi</t>
        </is>
      </c>
      <c r="E1617" s="200" t="inlineStr">
        <is>
          <t>Metallic Silky Silver</t>
        </is>
      </c>
    </row>
    <row r="1618" ht="15" customHeight="1">
      <c r="A1618" s="196" t="n">
        <v>1614</v>
      </c>
      <c r="B1618" s="197" t="inlineStr">
        <is>
          <t>Maruti Suzuki</t>
        </is>
      </c>
      <c r="C1618" s="198" t="inlineStr">
        <is>
          <t>WagnoR</t>
        </is>
      </c>
      <c r="D1618" s="199" t="inlineStr">
        <is>
          <t>Wagon R LXi</t>
        </is>
      </c>
      <c r="E1618" s="200" t="inlineStr">
        <is>
          <t>Solid White</t>
        </is>
      </c>
    </row>
    <row r="1619" ht="15" customHeight="1">
      <c r="A1619" s="196" t="n">
        <v>1615</v>
      </c>
      <c r="B1619" s="197" t="inlineStr">
        <is>
          <t>Maruti Suzuki</t>
        </is>
      </c>
      <c r="C1619" s="198" t="inlineStr">
        <is>
          <t>WagnoR</t>
        </is>
      </c>
      <c r="D1619" s="199" t="inlineStr">
        <is>
          <t>Wagon R VXi</t>
        </is>
      </c>
      <c r="E1619" s="200" t="inlineStr">
        <is>
          <t>Metallic Magma Grey</t>
        </is>
      </c>
    </row>
    <row r="1620" ht="15" customHeight="1">
      <c r="A1620" s="196" t="n">
        <v>1616</v>
      </c>
      <c r="B1620" s="197" t="inlineStr">
        <is>
          <t>Maruti Suzuki</t>
        </is>
      </c>
      <c r="C1620" s="198" t="inlineStr">
        <is>
          <t>WagnoR</t>
        </is>
      </c>
      <c r="D1620" s="199" t="inlineStr">
        <is>
          <t>Wagon R VXi</t>
        </is>
      </c>
      <c r="E1620" s="200" t="inlineStr">
        <is>
          <t>Metallic Silky Silver</t>
        </is>
      </c>
    </row>
    <row r="1621" ht="15" customHeight="1">
      <c r="A1621" s="196" t="n">
        <v>1617</v>
      </c>
      <c r="B1621" s="197" t="inlineStr">
        <is>
          <t>Maruti Suzuki</t>
        </is>
      </c>
      <c r="C1621" s="198" t="inlineStr">
        <is>
          <t>WagnoR</t>
        </is>
      </c>
      <c r="D1621" s="199" t="inlineStr">
        <is>
          <t>Wagon R VXi</t>
        </is>
      </c>
      <c r="E1621" s="200" t="inlineStr">
        <is>
          <t>Pearl Metallic Poolside Blue</t>
        </is>
      </c>
    </row>
    <row r="1622" ht="15" customHeight="1">
      <c r="A1622" s="196" t="n">
        <v>1618</v>
      </c>
      <c r="B1622" s="197" t="inlineStr">
        <is>
          <t>Maruti Suzuki</t>
        </is>
      </c>
      <c r="C1622" s="198" t="inlineStr">
        <is>
          <t>WagnoR</t>
        </is>
      </c>
      <c r="D1622" s="199" t="inlineStr">
        <is>
          <t>Wagon R VXi</t>
        </is>
      </c>
      <c r="E1622" s="200" t="inlineStr">
        <is>
          <t>Peral Metallic Nutmeg Brown</t>
        </is>
      </c>
    </row>
    <row r="1623" ht="15" customHeight="1">
      <c r="A1623" s="196" t="n">
        <v>1619</v>
      </c>
      <c r="B1623" s="197" t="inlineStr">
        <is>
          <t>Maruti Suzuki</t>
        </is>
      </c>
      <c r="C1623" s="198" t="inlineStr">
        <is>
          <t>WagnoR</t>
        </is>
      </c>
      <c r="D1623" s="199" t="inlineStr">
        <is>
          <t>Wagon R VXi</t>
        </is>
      </c>
      <c r="E1623" s="200" t="inlineStr">
        <is>
          <t>Solid White</t>
        </is>
      </c>
    </row>
    <row r="1624" ht="15" customHeight="1">
      <c r="A1624" s="196" t="n">
        <v>1620</v>
      </c>
      <c r="B1624" s="197" t="inlineStr">
        <is>
          <t>Maruti Suzuki</t>
        </is>
      </c>
      <c r="C1624" s="198" t="inlineStr">
        <is>
          <t>WagnoR</t>
        </is>
      </c>
      <c r="D1624" s="199" t="inlineStr">
        <is>
          <t>Wagon R ZXi</t>
        </is>
      </c>
      <c r="E1624" s="200" t="inlineStr">
        <is>
          <t>Metallic Magma Grey</t>
        </is>
      </c>
    </row>
    <row r="1625" ht="15" customHeight="1">
      <c r="A1625" s="196" t="n">
        <v>1621</v>
      </c>
      <c r="B1625" s="197" t="inlineStr">
        <is>
          <t>Maruti Suzuki</t>
        </is>
      </c>
      <c r="C1625" s="198" t="inlineStr">
        <is>
          <t>WagnoR</t>
        </is>
      </c>
      <c r="D1625" s="199" t="inlineStr">
        <is>
          <t>Wagon R ZXi</t>
        </is>
      </c>
      <c r="E1625" s="200" t="inlineStr">
        <is>
          <t>Metallic Silky Silver</t>
        </is>
      </c>
    </row>
    <row r="1626" ht="15" customHeight="1">
      <c r="A1626" s="196" t="n">
        <v>1622</v>
      </c>
      <c r="B1626" s="197" t="inlineStr">
        <is>
          <t>Maruti Suzuki</t>
        </is>
      </c>
      <c r="C1626" s="198" t="inlineStr">
        <is>
          <t>WagnoR</t>
        </is>
      </c>
      <c r="D1626" s="199" t="inlineStr">
        <is>
          <t>Wagon R ZXi</t>
        </is>
      </c>
      <c r="E1626" s="200" t="inlineStr">
        <is>
          <t>Pearl Bluish Black</t>
        </is>
      </c>
    </row>
    <row r="1627" ht="15" customHeight="1">
      <c r="A1627" s="196" t="n">
        <v>1623</v>
      </c>
      <c r="B1627" s="197" t="inlineStr">
        <is>
          <t>Maruti Suzuki</t>
        </is>
      </c>
      <c r="C1627" s="198" t="inlineStr">
        <is>
          <t>WagnoR</t>
        </is>
      </c>
      <c r="D1627" s="199" t="inlineStr">
        <is>
          <t>Wagon R ZXi</t>
        </is>
      </c>
      <c r="E1627" s="200" t="inlineStr">
        <is>
          <t>Pearl Metallic Poolside Blue</t>
        </is>
      </c>
    </row>
    <row r="1628" ht="15" customHeight="1">
      <c r="A1628" s="196" t="n">
        <v>1624</v>
      </c>
      <c r="B1628" s="197" t="inlineStr">
        <is>
          <t>Maruti Suzuki</t>
        </is>
      </c>
      <c r="C1628" s="198" t="inlineStr">
        <is>
          <t>WagnoR</t>
        </is>
      </c>
      <c r="D1628" s="199" t="inlineStr">
        <is>
          <t>Wagon R ZXi</t>
        </is>
      </c>
      <c r="E1628" s="200" t="inlineStr">
        <is>
          <t>Peral Metallic Nutmeg Brown</t>
        </is>
      </c>
    </row>
    <row r="1629" ht="15" customHeight="1">
      <c r="A1629" s="196" t="n">
        <v>1625</v>
      </c>
      <c r="B1629" s="197" t="inlineStr">
        <is>
          <t>Maruti Suzuki</t>
        </is>
      </c>
      <c r="C1629" s="198" t="inlineStr">
        <is>
          <t>WagnoR</t>
        </is>
      </c>
      <c r="D1629" s="199" t="inlineStr">
        <is>
          <t>Wagon R ZXi</t>
        </is>
      </c>
      <c r="E1629" s="200" t="inlineStr">
        <is>
          <t>Solid White</t>
        </is>
      </c>
    </row>
    <row r="1630" ht="15" customHeight="1">
      <c r="A1630" s="196" t="n">
        <v>1626</v>
      </c>
      <c r="B1630" s="197" t="inlineStr">
        <is>
          <t>Maruti Suzuki</t>
        </is>
      </c>
      <c r="C1630" s="198" t="inlineStr">
        <is>
          <t>WagnoR</t>
        </is>
      </c>
      <c r="D1630" s="199" t="inlineStr">
        <is>
          <t>Wagon R ZXi Plus</t>
        </is>
      </c>
      <c r="E1630" s="200" t="inlineStr">
        <is>
          <t>Metallic Magma Grey</t>
        </is>
      </c>
    </row>
    <row r="1631" ht="15" customHeight="1">
      <c r="A1631" s="196" t="n">
        <v>1627</v>
      </c>
      <c r="B1631" s="197" t="inlineStr">
        <is>
          <t>Maruti Suzuki</t>
        </is>
      </c>
      <c r="C1631" s="198" t="inlineStr">
        <is>
          <t>WagnoR</t>
        </is>
      </c>
      <c r="D1631" s="199" t="inlineStr">
        <is>
          <t>Wagon R ZXi Plus</t>
        </is>
      </c>
      <c r="E1631" s="200" t="inlineStr">
        <is>
          <t>Metallic Silky Silver</t>
        </is>
      </c>
    </row>
    <row r="1632" ht="15" customHeight="1">
      <c r="A1632" s="196" t="n">
        <v>1628</v>
      </c>
      <c r="B1632" s="197" t="inlineStr">
        <is>
          <t>Maruti Suzuki</t>
        </is>
      </c>
      <c r="C1632" s="198" t="inlineStr">
        <is>
          <t>WagnoR</t>
        </is>
      </c>
      <c r="D1632" s="199" t="inlineStr">
        <is>
          <t>Wagon R ZXi Plus</t>
        </is>
      </c>
      <c r="E1632" s="200" t="inlineStr">
        <is>
          <t>Pearl Bluish Black</t>
        </is>
      </c>
    </row>
    <row r="1633" ht="15" customHeight="1">
      <c r="A1633" s="196" t="n">
        <v>1629</v>
      </c>
      <c r="B1633" s="197" t="inlineStr">
        <is>
          <t>Maruti Suzuki</t>
        </is>
      </c>
      <c r="C1633" s="198" t="inlineStr">
        <is>
          <t>WagnoR</t>
        </is>
      </c>
      <c r="D1633" s="199" t="inlineStr">
        <is>
          <t>Wagon R ZXi Plus</t>
        </is>
      </c>
      <c r="E1633" s="200" t="inlineStr">
        <is>
          <t>Pearl Metallic Poolside Blue</t>
        </is>
      </c>
    </row>
    <row r="1634" ht="15" customHeight="1">
      <c r="A1634" s="196" t="n">
        <v>1630</v>
      </c>
      <c r="B1634" s="197" t="inlineStr">
        <is>
          <t>Maruti Suzuki</t>
        </is>
      </c>
      <c r="C1634" s="198" t="inlineStr">
        <is>
          <t>WagnoR</t>
        </is>
      </c>
      <c r="D1634" s="199" t="inlineStr">
        <is>
          <t>Wagon R ZXi Plus</t>
        </is>
      </c>
      <c r="E1634" s="200" t="inlineStr">
        <is>
          <t>Peral Metallic Nutmeg Brown</t>
        </is>
      </c>
    </row>
    <row r="1635" ht="15" customHeight="1">
      <c r="A1635" s="196" t="n">
        <v>1631</v>
      </c>
      <c r="B1635" s="197" t="inlineStr">
        <is>
          <t>Maruti Suzuki</t>
        </is>
      </c>
      <c r="C1635" s="198" t="inlineStr">
        <is>
          <t>WagnoR</t>
        </is>
      </c>
      <c r="D1635" s="199" t="inlineStr">
        <is>
          <t>Wagon R ZXi Plus</t>
        </is>
      </c>
      <c r="E1635" s="200" t="inlineStr">
        <is>
          <t>Solid White</t>
        </is>
      </c>
    </row>
    <row r="1636" ht="15" customHeight="1">
      <c r="A1636" s="196" t="n">
        <v>1632</v>
      </c>
      <c r="B1636" s="197" t="inlineStr">
        <is>
          <t>Maruti Suzuki</t>
        </is>
      </c>
      <c r="C1636" s="198" t="inlineStr">
        <is>
          <t>XL6</t>
        </is>
      </c>
      <c r="D1636" s="199" t="inlineStr">
        <is>
          <t>XL6 Alpha</t>
        </is>
      </c>
      <c r="E1636" s="200" t="inlineStr">
        <is>
          <t>Arctic White</t>
        </is>
      </c>
    </row>
    <row r="1637" ht="15" customHeight="1">
      <c r="A1637" s="196" t="n">
        <v>1633</v>
      </c>
      <c r="B1637" s="197" t="inlineStr">
        <is>
          <t>Maruti Suzuki</t>
        </is>
      </c>
      <c r="C1637" s="198" t="inlineStr">
        <is>
          <t>XL6</t>
        </is>
      </c>
      <c r="D1637" s="199" t="inlineStr">
        <is>
          <t>XL6 Alpha</t>
        </is>
      </c>
      <c r="E1637" s="200" t="inlineStr">
        <is>
          <t>Bluish Black</t>
        </is>
      </c>
    </row>
    <row r="1638" ht="15" customHeight="1">
      <c r="A1638" s="196" t="n">
        <v>1634</v>
      </c>
      <c r="B1638" s="197" t="inlineStr">
        <is>
          <t>Maruti Suzuki</t>
        </is>
      </c>
      <c r="C1638" s="198" t="inlineStr">
        <is>
          <t>XL6</t>
        </is>
      </c>
      <c r="D1638" s="199" t="inlineStr">
        <is>
          <t>XL6 Alpha</t>
        </is>
      </c>
      <c r="E1638" s="200" t="inlineStr">
        <is>
          <t>Brave Khaki</t>
        </is>
      </c>
    </row>
    <row r="1639" ht="15" customHeight="1">
      <c r="A1639" s="196" t="n">
        <v>1635</v>
      </c>
      <c r="B1639" s="197" t="inlineStr">
        <is>
          <t>Maruti Suzuki</t>
        </is>
      </c>
      <c r="C1639" s="198" t="inlineStr">
        <is>
          <t>XL6</t>
        </is>
      </c>
      <c r="D1639" s="199" t="inlineStr">
        <is>
          <t>XL6 Alpha</t>
        </is>
      </c>
      <c r="E1639" s="200" t="inlineStr">
        <is>
          <t>Grandeur Grey</t>
        </is>
      </c>
    </row>
    <row r="1640" ht="15" customHeight="1">
      <c r="A1640" s="196" t="n">
        <v>1636</v>
      </c>
      <c r="B1640" s="197" t="inlineStr">
        <is>
          <t>Maruti Suzuki</t>
        </is>
      </c>
      <c r="C1640" s="198" t="inlineStr">
        <is>
          <t>XL6</t>
        </is>
      </c>
      <c r="D1640" s="199" t="inlineStr">
        <is>
          <t>XL6 Alpha</t>
        </is>
      </c>
      <c r="E1640" s="200" t="inlineStr">
        <is>
          <t>Nexa Blue (Celestial)</t>
        </is>
      </c>
    </row>
    <row r="1641" ht="15" customHeight="1">
      <c r="A1641" s="196" t="n">
        <v>1637</v>
      </c>
      <c r="B1641" s="197" t="inlineStr">
        <is>
          <t>Maruti Suzuki</t>
        </is>
      </c>
      <c r="C1641" s="198" t="inlineStr">
        <is>
          <t>XL6</t>
        </is>
      </c>
      <c r="D1641" s="199" t="inlineStr">
        <is>
          <t>XL6 Alpha</t>
        </is>
      </c>
      <c r="E1641" s="200" t="inlineStr">
        <is>
          <t>Opulent Red</t>
        </is>
      </c>
    </row>
    <row r="1642" ht="15" customHeight="1">
      <c r="A1642" s="196" t="n">
        <v>1638</v>
      </c>
      <c r="B1642" s="197" t="inlineStr">
        <is>
          <t>Maruti Suzuki</t>
        </is>
      </c>
      <c r="C1642" s="198" t="inlineStr">
        <is>
          <t>XL6</t>
        </is>
      </c>
      <c r="D1642" s="199" t="inlineStr">
        <is>
          <t>XL6 Alpha</t>
        </is>
      </c>
      <c r="E1642" s="200" t="inlineStr">
        <is>
          <t>Splendid Silver</t>
        </is>
      </c>
    </row>
    <row r="1643" ht="15" customHeight="1">
      <c r="A1643" s="196" t="n">
        <v>1639</v>
      </c>
      <c r="B1643" s="197" t="inlineStr">
        <is>
          <t>Maruti Suzuki</t>
        </is>
      </c>
      <c r="C1643" s="198" t="inlineStr">
        <is>
          <t>XL6</t>
        </is>
      </c>
      <c r="D1643" s="199" t="inlineStr">
        <is>
          <t>XL6 Alpha Plus</t>
        </is>
      </c>
      <c r="E1643" s="200" t="inlineStr">
        <is>
          <t>Arctic White</t>
        </is>
      </c>
    </row>
    <row r="1644" ht="15" customHeight="1">
      <c r="A1644" s="196" t="n">
        <v>1640</v>
      </c>
      <c r="B1644" s="197" t="inlineStr">
        <is>
          <t>Maruti Suzuki</t>
        </is>
      </c>
      <c r="C1644" s="198" t="inlineStr">
        <is>
          <t>XL6</t>
        </is>
      </c>
      <c r="D1644" s="199" t="inlineStr">
        <is>
          <t>XL6 Alpha Plus</t>
        </is>
      </c>
      <c r="E1644" s="200" t="inlineStr">
        <is>
          <t>Bluish Black</t>
        </is>
      </c>
    </row>
    <row r="1645" ht="15" customHeight="1">
      <c r="A1645" s="196" t="n">
        <v>1641</v>
      </c>
      <c r="B1645" s="197" t="inlineStr">
        <is>
          <t>Maruti Suzuki</t>
        </is>
      </c>
      <c r="C1645" s="198" t="inlineStr">
        <is>
          <t>XL6</t>
        </is>
      </c>
      <c r="D1645" s="199" t="inlineStr">
        <is>
          <t>XL6 Alpha Plus</t>
        </is>
      </c>
      <c r="E1645" s="200" t="inlineStr">
        <is>
          <t>Brave Khaki</t>
        </is>
      </c>
    </row>
    <row r="1646" ht="15" customHeight="1">
      <c r="A1646" s="196" t="n">
        <v>1642</v>
      </c>
      <c r="B1646" s="197" t="inlineStr">
        <is>
          <t>Maruti Suzuki</t>
        </is>
      </c>
      <c r="C1646" s="198" t="inlineStr">
        <is>
          <t>XL6</t>
        </is>
      </c>
      <c r="D1646" s="199" t="inlineStr">
        <is>
          <t>XL6 Alpha Plus</t>
        </is>
      </c>
      <c r="E1646" s="200" t="inlineStr">
        <is>
          <t>Grandeur Grey</t>
        </is>
      </c>
    </row>
    <row r="1647" ht="15" customHeight="1">
      <c r="A1647" s="196" t="n">
        <v>1643</v>
      </c>
      <c r="B1647" s="197" t="inlineStr">
        <is>
          <t>Maruti Suzuki</t>
        </is>
      </c>
      <c r="C1647" s="198" t="inlineStr">
        <is>
          <t>XL6</t>
        </is>
      </c>
      <c r="D1647" s="199" t="inlineStr">
        <is>
          <t>XL6 Alpha Plus</t>
        </is>
      </c>
      <c r="E1647" s="200" t="inlineStr">
        <is>
          <t>Nexa Blue (Celestial)</t>
        </is>
      </c>
    </row>
    <row r="1648" ht="15" customHeight="1">
      <c r="A1648" s="196" t="n">
        <v>1644</v>
      </c>
      <c r="B1648" s="197" t="inlineStr">
        <is>
          <t>Maruti Suzuki</t>
        </is>
      </c>
      <c r="C1648" s="198" t="inlineStr">
        <is>
          <t>XL6</t>
        </is>
      </c>
      <c r="D1648" s="199" t="inlineStr">
        <is>
          <t>XL6 Alpha Plus</t>
        </is>
      </c>
      <c r="E1648" s="200" t="inlineStr">
        <is>
          <t>Opulent Red</t>
        </is>
      </c>
    </row>
    <row r="1649" ht="15" customHeight="1">
      <c r="A1649" s="196" t="n">
        <v>1645</v>
      </c>
      <c r="B1649" s="197" t="inlineStr">
        <is>
          <t>Maruti Suzuki</t>
        </is>
      </c>
      <c r="C1649" s="198" t="inlineStr">
        <is>
          <t>XL6</t>
        </is>
      </c>
      <c r="D1649" s="199" t="inlineStr">
        <is>
          <t>XL6 Alpha Plus</t>
        </is>
      </c>
      <c r="E1649" s="200" t="inlineStr">
        <is>
          <t>Splendid Silver</t>
        </is>
      </c>
    </row>
    <row r="1650" ht="15" customHeight="1">
      <c r="A1650" s="196" t="n">
        <v>1646</v>
      </c>
      <c r="B1650" s="197" t="inlineStr">
        <is>
          <t>Maruti Suzuki</t>
        </is>
      </c>
      <c r="C1650" s="198" t="inlineStr">
        <is>
          <t>XL6</t>
        </is>
      </c>
      <c r="D1650" s="199" t="inlineStr">
        <is>
          <t>XL6 Zeta</t>
        </is>
      </c>
      <c r="E1650" s="200" t="inlineStr">
        <is>
          <t>Arctic White</t>
        </is>
      </c>
    </row>
    <row r="1651" ht="15" customHeight="1">
      <c r="A1651" s="196" t="n">
        <v>1647</v>
      </c>
      <c r="B1651" s="197" t="inlineStr">
        <is>
          <t>Maruti Suzuki</t>
        </is>
      </c>
      <c r="C1651" s="198" t="inlineStr">
        <is>
          <t>XL6</t>
        </is>
      </c>
      <c r="D1651" s="199" t="inlineStr">
        <is>
          <t>XL6 Zeta</t>
        </is>
      </c>
      <c r="E1651" s="200" t="inlineStr">
        <is>
          <t>Bluish Black</t>
        </is>
      </c>
    </row>
    <row r="1652" ht="15" customHeight="1">
      <c r="A1652" s="196" t="n">
        <v>1648</v>
      </c>
      <c r="B1652" s="197" t="inlineStr">
        <is>
          <t>Maruti Suzuki</t>
        </is>
      </c>
      <c r="C1652" s="198" t="inlineStr">
        <is>
          <t>XL6</t>
        </is>
      </c>
      <c r="D1652" s="199" t="inlineStr">
        <is>
          <t>XL6 Zeta</t>
        </is>
      </c>
      <c r="E1652" s="200" t="inlineStr">
        <is>
          <t>Brave Khaki</t>
        </is>
      </c>
    </row>
    <row r="1653" ht="15" customHeight="1">
      <c r="A1653" s="196" t="n">
        <v>1649</v>
      </c>
      <c r="B1653" s="197" t="inlineStr">
        <is>
          <t>Maruti Suzuki</t>
        </is>
      </c>
      <c r="C1653" s="198" t="inlineStr">
        <is>
          <t>XL6</t>
        </is>
      </c>
      <c r="D1653" s="199" t="inlineStr">
        <is>
          <t>XL6 Zeta</t>
        </is>
      </c>
      <c r="E1653" s="200" t="inlineStr">
        <is>
          <t>Grandeur Grey</t>
        </is>
      </c>
    </row>
    <row r="1654" ht="15" customHeight="1">
      <c r="A1654" s="196" t="n">
        <v>1650</v>
      </c>
      <c r="B1654" s="197" t="inlineStr">
        <is>
          <t>Maruti Suzuki</t>
        </is>
      </c>
      <c r="C1654" s="198" t="inlineStr">
        <is>
          <t>XL6</t>
        </is>
      </c>
      <c r="D1654" s="199" t="inlineStr">
        <is>
          <t>XL6 Zeta</t>
        </is>
      </c>
      <c r="E1654" s="200" t="inlineStr">
        <is>
          <t>Nexa Blue (Celestial)</t>
        </is>
      </c>
    </row>
    <row r="1655" ht="15" customHeight="1">
      <c r="A1655" s="196" t="n">
        <v>1651</v>
      </c>
      <c r="B1655" s="197" t="inlineStr">
        <is>
          <t>Maruti Suzuki</t>
        </is>
      </c>
      <c r="C1655" s="198" t="inlineStr">
        <is>
          <t>XL6</t>
        </is>
      </c>
      <c r="D1655" s="199" t="inlineStr">
        <is>
          <t>XL6 Zeta</t>
        </is>
      </c>
      <c r="E1655" s="200" t="inlineStr">
        <is>
          <t>Opulent Red</t>
        </is>
      </c>
    </row>
    <row r="1656" ht="15" customHeight="1">
      <c r="A1656" s="196" t="n">
        <v>1652</v>
      </c>
      <c r="B1656" s="197" t="inlineStr">
        <is>
          <t>Maruti Suzuki</t>
        </is>
      </c>
      <c r="C1656" s="198" t="inlineStr">
        <is>
          <t>XL6</t>
        </is>
      </c>
      <c r="D1656" s="199" t="inlineStr">
        <is>
          <t>XL6 Zeta</t>
        </is>
      </c>
      <c r="E1656" s="200" t="inlineStr">
        <is>
          <t>Splendid Silver</t>
        </is>
      </c>
    </row>
    <row r="1657" ht="15" customHeight="1">
      <c r="A1657" s="221" t="n">
        <v>1653</v>
      </c>
      <c r="B1657" s="222" t="inlineStr">
        <is>
          <t>Mitsubishi</t>
        </is>
      </c>
      <c r="C1657" s="223" t="inlineStr">
        <is>
          <t>Cedia</t>
        </is>
      </c>
      <c r="D1657" s="224" t="inlineStr">
        <is>
          <t>Standard</t>
        </is>
      </c>
      <c r="E1657" s="225" t="inlineStr">
        <is>
          <t>cedia</t>
        </is>
      </c>
    </row>
    <row r="1658" ht="15" customHeight="1">
      <c r="A1658" s="221" t="n">
        <v>1654</v>
      </c>
      <c r="B1658" s="222" t="inlineStr">
        <is>
          <t>Mitsubishi</t>
        </is>
      </c>
      <c r="C1658" s="223" t="inlineStr">
        <is>
          <t>Lancer</t>
        </is>
      </c>
      <c r="D1658" s="224" t="inlineStr">
        <is>
          <t>Standard</t>
        </is>
      </c>
      <c r="E1658" s="225" t="inlineStr">
        <is>
          <t>lancer</t>
        </is>
      </c>
    </row>
    <row r="1659" ht="15" customHeight="1">
      <c r="A1659" s="221" t="n">
        <v>1655</v>
      </c>
      <c r="B1659" s="222" t="inlineStr">
        <is>
          <t>Mitsubishi</t>
        </is>
      </c>
      <c r="C1659" s="223" t="inlineStr">
        <is>
          <t>Outlander (Older India)</t>
        </is>
      </c>
      <c r="D1659" s="224" t="inlineStr">
        <is>
          <t>Standard</t>
        </is>
      </c>
      <c r="E1659" s="225" t="inlineStr">
        <is>
          <t>Black Pearl</t>
        </is>
      </c>
    </row>
    <row r="1660" ht="15" customHeight="1">
      <c r="A1660" s="221" t="n">
        <v>1656</v>
      </c>
      <c r="B1660" s="222" t="inlineStr">
        <is>
          <t>Mitsubishi</t>
        </is>
      </c>
      <c r="C1660" s="223" t="inlineStr">
        <is>
          <t>Outlander (Older India)</t>
        </is>
      </c>
      <c r="D1660" s="224" t="inlineStr">
        <is>
          <t>Standard</t>
        </is>
      </c>
      <c r="E1660" s="225" t="inlineStr">
        <is>
          <t>Cool Silver</t>
        </is>
      </c>
    </row>
    <row r="1661" ht="15" customHeight="1">
      <c r="A1661" s="221" t="n">
        <v>1657</v>
      </c>
      <c r="B1661" s="222" t="inlineStr">
        <is>
          <t>Mitsubishi</t>
        </is>
      </c>
      <c r="C1661" s="223" t="inlineStr">
        <is>
          <t>Outlander (Older India)</t>
        </is>
      </c>
      <c r="D1661" s="224" t="inlineStr">
        <is>
          <t>Standard</t>
        </is>
      </c>
      <c r="E1661" s="225" t="inlineStr">
        <is>
          <t>Cosmic Blue</t>
        </is>
      </c>
    </row>
    <row r="1662" ht="15" customHeight="1">
      <c r="A1662" s="221" t="n">
        <v>1658</v>
      </c>
      <c r="B1662" s="222" t="inlineStr">
        <is>
          <t>Mitsubishi</t>
        </is>
      </c>
      <c r="C1662" s="223" t="inlineStr">
        <is>
          <t>Outlander (Older India)</t>
        </is>
      </c>
      <c r="D1662" s="224" t="inlineStr">
        <is>
          <t>Standard</t>
        </is>
      </c>
      <c r="E1662" s="225" t="inlineStr">
        <is>
          <t>Orient Red</t>
        </is>
      </c>
    </row>
    <row r="1663" ht="15" customHeight="1">
      <c r="A1663" s="221" t="n">
        <v>1659</v>
      </c>
      <c r="B1663" s="222" t="inlineStr">
        <is>
          <t>Mitsubishi</t>
        </is>
      </c>
      <c r="C1663" s="223" t="inlineStr">
        <is>
          <t>Outlander (Older India)</t>
        </is>
      </c>
      <c r="D1663" s="224" t="inlineStr">
        <is>
          <t>Standard</t>
        </is>
      </c>
      <c r="E1663" s="225" t="inlineStr">
        <is>
          <t>Titanium Gray</t>
        </is>
      </c>
    </row>
    <row r="1664" ht="15" customHeight="1">
      <c r="A1664" s="221" t="n">
        <v>1660</v>
      </c>
      <c r="B1664" s="222" t="inlineStr">
        <is>
          <t>Mitsubishi</t>
        </is>
      </c>
      <c r="C1664" s="223" t="inlineStr">
        <is>
          <t>Outlander (Older India)</t>
        </is>
      </c>
      <c r="D1664" s="224" t="inlineStr">
        <is>
          <t>Standard</t>
        </is>
      </c>
      <c r="E1664" s="225" t="inlineStr">
        <is>
          <t>White Pearl</t>
        </is>
      </c>
    </row>
    <row r="1665" ht="15" customHeight="1">
      <c r="A1665" s="221" t="n">
        <v>1661</v>
      </c>
      <c r="B1665" s="222" t="inlineStr">
        <is>
          <t>Mitsubishi</t>
        </is>
      </c>
      <c r="C1665" s="223" t="inlineStr">
        <is>
          <t>Outlander (Older India)</t>
        </is>
      </c>
      <c r="D1665" s="224" t="inlineStr">
        <is>
          <t>Standard</t>
        </is>
      </c>
      <c r="E1665" s="225" t="inlineStr">
        <is>
          <t>White Solid</t>
        </is>
      </c>
    </row>
    <row r="1666" ht="15" customHeight="1">
      <c r="A1666" s="221" t="n">
        <v>1662</v>
      </c>
      <c r="B1666" s="222" t="inlineStr">
        <is>
          <t>Mitsubishi</t>
        </is>
      </c>
      <c r="C1666" s="223" t="inlineStr">
        <is>
          <t>Pajero Sport</t>
        </is>
      </c>
      <c r="D1666" s="224" t="inlineStr">
        <is>
          <t>Standard</t>
        </is>
      </c>
      <c r="E1666" s="225" t="inlineStr">
        <is>
          <t>Blac_White</t>
        </is>
      </c>
    </row>
    <row r="1667" ht="15" customHeight="1">
      <c r="A1667" s="221" t="n">
        <v>1663</v>
      </c>
      <c r="B1667" s="222" t="inlineStr">
        <is>
          <t>Mitsubishi</t>
        </is>
      </c>
      <c r="C1667" s="223" t="inlineStr">
        <is>
          <t>Pajero Sport</t>
        </is>
      </c>
      <c r="D1667" s="224" t="inlineStr">
        <is>
          <t>Standard</t>
        </is>
      </c>
      <c r="E1667" s="225" t="inlineStr">
        <is>
          <t>Black _ Red</t>
        </is>
      </c>
    </row>
    <row r="1668" ht="15" customHeight="1">
      <c r="A1668" s="221" t="n">
        <v>1664</v>
      </c>
      <c r="B1668" s="222" t="inlineStr">
        <is>
          <t>Mitsubishi</t>
        </is>
      </c>
      <c r="C1668" s="223" t="inlineStr">
        <is>
          <t>Pajero Sport</t>
        </is>
      </c>
      <c r="D1668" s="224" t="inlineStr">
        <is>
          <t>Standard</t>
        </is>
      </c>
      <c r="E1668" s="225" t="inlineStr">
        <is>
          <t>Black _ Silver</t>
        </is>
      </c>
    </row>
    <row r="1669" ht="15" customHeight="1">
      <c r="A1669" s="221" t="n">
        <v>1665</v>
      </c>
      <c r="B1669" s="222" t="inlineStr">
        <is>
          <t>Mitsubishi</t>
        </is>
      </c>
      <c r="C1669" s="223" t="inlineStr">
        <is>
          <t>Pajero Sport</t>
        </is>
      </c>
      <c r="D1669" s="224" t="inlineStr">
        <is>
          <t>Standard</t>
        </is>
      </c>
      <c r="E1669" s="225" t="inlineStr">
        <is>
          <t>Black _Yellow</t>
        </is>
      </c>
    </row>
    <row r="1670" ht="15" customHeight="1">
      <c r="A1670" s="196" t="n">
        <v>1666</v>
      </c>
      <c r="B1670" s="197" t="inlineStr">
        <is>
          <t>Nissan</t>
        </is>
      </c>
      <c r="C1670" s="198" t="inlineStr">
        <is>
          <t>Kicks</t>
        </is>
      </c>
      <c r="D1670" s="199" t="inlineStr">
        <is>
          <t>Kicks XE</t>
        </is>
      </c>
      <c r="E1670" s="200" t="inlineStr">
        <is>
          <t>Blade Silver</t>
        </is>
      </c>
    </row>
    <row r="1671" ht="15" customHeight="1">
      <c r="A1671" s="196" t="n">
        <v>1667</v>
      </c>
      <c r="B1671" s="197" t="inlineStr">
        <is>
          <t>Nissan</t>
        </is>
      </c>
      <c r="C1671" s="198" t="inlineStr">
        <is>
          <t>Kicks</t>
        </is>
      </c>
      <c r="D1671" s="199" t="inlineStr">
        <is>
          <t>Kicks XE</t>
        </is>
      </c>
      <c r="E1671" s="200" t="inlineStr">
        <is>
          <t>Bronze Grey</t>
        </is>
      </c>
    </row>
    <row r="1672" ht="15" customHeight="1">
      <c r="A1672" s="196" t="n">
        <v>1668</v>
      </c>
      <c r="B1672" s="197" t="inlineStr">
        <is>
          <t>Nissan</t>
        </is>
      </c>
      <c r="C1672" s="198" t="inlineStr">
        <is>
          <t>Kicks</t>
        </is>
      </c>
      <c r="D1672" s="199" t="inlineStr">
        <is>
          <t>Kicks XE</t>
        </is>
      </c>
      <c r="E1672" s="200" t="inlineStr">
        <is>
          <t>Deep Blue Pearl</t>
        </is>
      </c>
    </row>
    <row r="1673" ht="15" customHeight="1">
      <c r="A1673" s="196" t="n">
        <v>1669</v>
      </c>
      <c r="B1673" s="197" t="inlineStr">
        <is>
          <t>Nissan</t>
        </is>
      </c>
      <c r="C1673" s="198" t="inlineStr">
        <is>
          <t>Kicks</t>
        </is>
      </c>
      <c r="D1673" s="199" t="inlineStr">
        <is>
          <t>Kicks XE</t>
        </is>
      </c>
      <c r="E1673" s="200" t="inlineStr">
        <is>
          <t>Fire Red</t>
        </is>
      </c>
    </row>
    <row r="1674" ht="15" customHeight="1">
      <c r="A1674" s="196" t="n">
        <v>1670</v>
      </c>
      <c r="B1674" s="197" t="inlineStr">
        <is>
          <t>Nissan</t>
        </is>
      </c>
      <c r="C1674" s="198" t="inlineStr">
        <is>
          <t>Kicks</t>
        </is>
      </c>
      <c r="D1674" s="199" t="inlineStr">
        <is>
          <t>Kicks XE</t>
        </is>
      </c>
      <c r="E1674" s="200" t="inlineStr">
        <is>
          <t>Night Shade</t>
        </is>
      </c>
    </row>
    <row r="1675" ht="15" customHeight="1">
      <c r="A1675" s="196" t="n">
        <v>1671</v>
      </c>
      <c r="B1675" s="197" t="inlineStr">
        <is>
          <t>Nissan</t>
        </is>
      </c>
      <c r="C1675" s="198" t="inlineStr">
        <is>
          <t>Kicks</t>
        </is>
      </c>
      <c r="D1675" s="199" t="inlineStr">
        <is>
          <t>Kicks XE</t>
        </is>
      </c>
      <c r="E1675" s="200" t="inlineStr">
        <is>
          <t>Pearl White</t>
        </is>
      </c>
    </row>
    <row r="1676" ht="15" customHeight="1">
      <c r="A1676" s="196" t="n">
        <v>1672</v>
      </c>
      <c r="B1676" s="197" t="inlineStr">
        <is>
          <t>Nissan</t>
        </is>
      </c>
      <c r="C1676" s="198" t="inlineStr">
        <is>
          <t>Kicks</t>
        </is>
      </c>
      <c r="D1676" s="199" t="inlineStr">
        <is>
          <t>Kicks XL</t>
        </is>
      </c>
      <c r="E1676" s="200" t="inlineStr">
        <is>
          <t>Blade Silver</t>
        </is>
      </c>
    </row>
    <row r="1677" ht="15" customHeight="1">
      <c r="A1677" s="196" t="n">
        <v>1673</v>
      </c>
      <c r="B1677" s="197" t="inlineStr">
        <is>
          <t>Nissan</t>
        </is>
      </c>
      <c r="C1677" s="198" t="inlineStr">
        <is>
          <t>Kicks</t>
        </is>
      </c>
      <c r="D1677" s="199" t="inlineStr">
        <is>
          <t>Kicks XL</t>
        </is>
      </c>
      <c r="E1677" s="200" t="inlineStr">
        <is>
          <t>Bronze Grey</t>
        </is>
      </c>
    </row>
    <row r="1678" ht="15" customHeight="1">
      <c r="A1678" s="196" t="n">
        <v>1674</v>
      </c>
      <c r="B1678" s="197" t="inlineStr">
        <is>
          <t>Nissan</t>
        </is>
      </c>
      <c r="C1678" s="198" t="inlineStr">
        <is>
          <t>Kicks</t>
        </is>
      </c>
      <c r="D1678" s="199" t="inlineStr">
        <is>
          <t>Kicks XL</t>
        </is>
      </c>
      <c r="E1678" s="200" t="inlineStr">
        <is>
          <t>Deep Blue Pearl</t>
        </is>
      </c>
    </row>
    <row r="1679" ht="15" customHeight="1">
      <c r="A1679" s="196" t="n">
        <v>1675</v>
      </c>
      <c r="B1679" s="197" t="inlineStr">
        <is>
          <t>Nissan</t>
        </is>
      </c>
      <c r="C1679" s="198" t="inlineStr">
        <is>
          <t>Kicks</t>
        </is>
      </c>
      <c r="D1679" s="199" t="inlineStr">
        <is>
          <t>Kicks XL</t>
        </is>
      </c>
      <c r="E1679" s="200" t="inlineStr">
        <is>
          <t>Fire Red</t>
        </is>
      </c>
    </row>
    <row r="1680" ht="15" customHeight="1">
      <c r="A1680" s="196" t="n">
        <v>1676</v>
      </c>
      <c r="B1680" s="197" t="inlineStr">
        <is>
          <t>Nissan</t>
        </is>
      </c>
      <c r="C1680" s="198" t="inlineStr">
        <is>
          <t>Kicks</t>
        </is>
      </c>
      <c r="D1680" s="199" t="inlineStr">
        <is>
          <t>Kicks XL</t>
        </is>
      </c>
      <c r="E1680" s="200" t="inlineStr">
        <is>
          <t>Night Shade</t>
        </is>
      </c>
    </row>
    <row r="1681" ht="15" customHeight="1">
      <c r="A1681" s="196" t="n">
        <v>1677</v>
      </c>
      <c r="B1681" s="197" t="inlineStr">
        <is>
          <t>Nissan</t>
        </is>
      </c>
      <c r="C1681" s="198" t="inlineStr">
        <is>
          <t>Kicks</t>
        </is>
      </c>
      <c r="D1681" s="199" t="inlineStr">
        <is>
          <t>Kicks XL</t>
        </is>
      </c>
      <c r="E1681" s="200" t="inlineStr">
        <is>
          <t>Pearl White</t>
        </is>
      </c>
    </row>
    <row r="1682" ht="15" customHeight="1">
      <c r="A1682" s="196" t="n">
        <v>1678</v>
      </c>
      <c r="B1682" s="197" t="inlineStr">
        <is>
          <t>Nissan</t>
        </is>
      </c>
      <c r="C1682" s="198" t="inlineStr">
        <is>
          <t>Kicks</t>
        </is>
      </c>
      <c r="D1682" s="199" t="inlineStr">
        <is>
          <t>Kicks XL D</t>
        </is>
      </c>
      <c r="E1682" s="200" t="inlineStr">
        <is>
          <t>Blade Silver</t>
        </is>
      </c>
    </row>
    <row r="1683" ht="15" customHeight="1">
      <c r="A1683" s="196" t="n">
        <v>1679</v>
      </c>
      <c r="B1683" s="197" t="inlineStr">
        <is>
          <t>Nissan</t>
        </is>
      </c>
      <c r="C1683" s="198" t="inlineStr">
        <is>
          <t>Kicks</t>
        </is>
      </c>
      <c r="D1683" s="199" t="inlineStr">
        <is>
          <t>Kicks XL D</t>
        </is>
      </c>
      <c r="E1683" s="200" t="inlineStr">
        <is>
          <t>Bronze Grey</t>
        </is>
      </c>
    </row>
    <row r="1684" ht="15" customHeight="1">
      <c r="A1684" s="196" t="n">
        <v>1680</v>
      </c>
      <c r="B1684" s="197" t="inlineStr">
        <is>
          <t>Nissan</t>
        </is>
      </c>
      <c r="C1684" s="198" t="inlineStr">
        <is>
          <t>Kicks</t>
        </is>
      </c>
      <c r="D1684" s="199" t="inlineStr">
        <is>
          <t>Kicks XL D</t>
        </is>
      </c>
      <c r="E1684" s="200" t="inlineStr">
        <is>
          <t>Deep Blue Pearl</t>
        </is>
      </c>
    </row>
    <row r="1685" ht="15" customHeight="1">
      <c r="A1685" s="196" t="n">
        <v>1681</v>
      </c>
      <c r="B1685" s="197" t="inlineStr">
        <is>
          <t>Nissan</t>
        </is>
      </c>
      <c r="C1685" s="198" t="inlineStr">
        <is>
          <t>Kicks</t>
        </is>
      </c>
      <c r="D1685" s="199" t="inlineStr">
        <is>
          <t>Kicks XL D</t>
        </is>
      </c>
      <c r="E1685" s="200" t="inlineStr">
        <is>
          <t>Fire Red</t>
        </is>
      </c>
    </row>
    <row r="1686" ht="15" customHeight="1">
      <c r="A1686" s="196" t="n">
        <v>1682</v>
      </c>
      <c r="B1686" s="197" t="inlineStr">
        <is>
          <t>Nissan</t>
        </is>
      </c>
      <c r="C1686" s="198" t="inlineStr">
        <is>
          <t>Kicks</t>
        </is>
      </c>
      <c r="D1686" s="199" t="inlineStr">
        <is>
          <t>Kicks XL D</t>
        </is>
      </c>
      <c r="E1686" s="200" t="inlineStr">
        <is>
          <t>Night Shade</t>
        </is>
      </c>
    </row>
    <row r="1687" ht="15" customHeight="1">
      <c r="A1687" s="196" t="n">
        <v>1683</v>
      </c>
      <c r="B1687" s="197" t="inlineStr">
        <is>
          <t>Nissan</t>
        </is>
      </c>
      <c r="C1687" s="198" t="inlineStr">
        <is>
          <t>Kicks</t>
        </is>
      </c>
      <c r="D1687" s="199" t="inlineStr">
        <is>
          <t>Kicks XL D</t>
        </is>
      </c>
      <c r="E1687" s="200" t="inlineStr">
        <is>
          <t>Pearl White</t>
        </is>
      </c>
    </row>
    <row r="1688" ht="15" customHeight="1">
      <c r="A1688" s="196" t="n">
        <v>1684</v>
      </c>
      <c r="B1688" s="197" t="inlineStr">
        <is>
          <t>Nissan</t>
        </is>
      </c>
      <c r="C1688" s="198" t="inlineStr">
        <is>
          <t>Kicks</t>
        </is>
      </c>
      <c r="D1688" s="199" t="inlineStr">
        <is>
          <t>Kicks XV</t>
        </is>
      </c>
      <c r="E1688" s="200" t="inlineStr">
        <is>
          <t>Blade Silver</t>
        </is>
      </c>
    </row>
    <row r="1689" ht="15" customHeight="1">
      <c r="A1689" s="196" t="n">
        <v>1685</v>
      </c>
      <c r="B1689" s="197" t="inlineStr">
        <is>
          <t>Nissan</t>
        </is>
      </c>
      <c r="C1689" s="198" t="inlineStr">
        <is>
          <t>Kicks</t>
        </is>
      </c>
      <c r="D1689" s="199" t="inlineStr">
        <is>
          <t>Kicks XV</t>
        </is>
      </c>
      <c r="E1689" s="200" t="inlineStr">
        <is>
          <t>Bronze Grey</t>
        </is>
      </c>
    </row>
    <row r="1690" ht="15" customHeight="1">
      <c r="A1690" s="196" t="n">
        <v>1686</v>
      </c>
      <c r="B1690" s="197" t="inlineStr">
        <is>
          <t>Nissan</t>
        </is>
      </c>
      <c r="C1690" s="198" t="inlineStr">
        <is>
          <t>Kicks</t>
        </is>
      </c>
      <c r="D1690" s="199" t="inlineStr">
        <is>
          <t>Kicks XV</t>
        </is>
      </c>
      <c r="E1690" s="200" t="inlineStr">
        <is>
          <t>Deep Blue Pearl</t>
        </is>
      </c>
    </row>
    <row r="1691" ht="15" customHeight="1">
      <c r="A1691" s="196" t="n">
        <v>1687</v>
      </c>
      <c r="B1691" s="197" t="inlineStr">
        <is>
          <t>Nissan</t>
        </is>
      </c>
      <c r="C1691" s="198" t="inlineStr">
        <is>
          <t>Kicks</t>
        </is>
      </c>
      <c r="D1691" s="199" t="inlineStr">
        <is>
          <t>Kicks XV</t>
        </is>
      </c>
      <c r="E1691" s="200" t="inlineStr">
        <is>
          <t>Fire Red</t>
        </is>
      </c>
    </row>
    <row r="1692" ht="15" customHeight="1">
      <c r="A1692" s="196" t="n">
        <v>1688</v>
      </c>
      <c r="B1692" s="197" t="inlineStr">
        <is>
          <t>Nissan</t>
        </is>
      </c>
      <c r="C1692" s="198" t="inlineStr">
        <is>
          <t>Kicks</t>
        </is>
      </c>
      <c r="D1692" s="199" t="inlineStr">
        <is>
          <t>Kicks XV</t>
        </is>
      </c>
      <c r="E1692" s="200" t="inlineStr">
        <is>
          <t>Night Shade</t>
        </is>
      </c>
    </row>
    <row r="1693" ht="15" customHeight="1">
      <c r="A1693" s="196" t="n">
        <v>1689</v>
      </c>
      <c r="B1693" s="197" t="inlineStr">
        <is>
          <t>Nissan</t>
        </is>
      </c>
      <c r="C1693" s="198" t="inlineStr">
        <is>
          <t>Kicks</t>
        </is>
      </c>
      <c r="D1693" s="199" t="inlineStr">
        <is>
          <t>Kicks XV</t>
        </is>
      </c>
      <c r="E1693" s="200" t="inlineStr">
        <is>
          <t>Pearl White</t>
        </is>
      </c>
    </row>
    <row r="1694" ht="15" customHeight="1">
      <c r="A1694" s="196" t="n">
        <v>1690</v>
      </c>
      <c r="B1694" s="197" t="inlineStr">
        <is>
          <t>Nissan</t>
        </is>
      </c>
      <c r="C1694" s="198" t="inlineStr">
        <is>
          <t>Kicks</t>
        </is>
      </c>
      <c r="D1694" s="199" t="inlineStr">
        <is>
          <t>Kicks XV D</t>
        </is>
      </c>
      <c r="E1694" s="200" t="inlineStr">
        <is>
          <t>Blade Silver</t>
        </is>
      </c>
    </row>
    <row r="1695" ht="15" customHeight="1">
      <c r="A1695" s="196" t="n">
        <v>1691</v>
      </c>
      <c r="B1695" s="197" t="inlineStr">
        <is>
          <t>Nissan</t>
        </is>
      </c>
      <c r="C1695" s="198" t="inlineStr">
        <is>
          <t>Kicks</t>
        </is>
      </c>
      <c r="D1695" s="199" t="inlineStr">
        <is>
          <t>Kicks XV D</t>
        </is>
      </c>
      <c r="E1695" s="200" t="inlineStr">
        <is>
          <t>Bronze Grey</t>
        </is>
      </c>
    </row>
    <row r="1696" ht="15" customHeight="1">
      <c r="A1696" s="196" t="n">
        <v>1692</v>
      </c>
      <c r="B1696" s="197" t="inlineStr">
        <is>
          <t>Nissan</t>
        </is>
      </c>
      <c r="C1696" s="198" t="inlineStr">
        <is>
          <t>Kicks</t>
        </is>
      </c>
      <c r="D1696" s="199" t="inlineStr">
        <is>
          <t>Kicks XV D</t>
        </is>
      </c>
      <c r="E1696" s="200" t="inlineStr">
        <is>
          <t>Deep Blue Pearl</t>
        </is>
      </c>
    </row>
    <row r="1697" ht="15" customHeight="1">
      <c r="A1697" s="196" t="n">
        <v>1693</v>
      </c>
      <c r="B1697" s="197" t="inlineStr">
        <is>
          <t>Nissan</t>
        </is>
      </c>
      <c r="C1697" s="198" t="inlineStr">
        <is>
          <t>Kicks</t>
        </is>
      </c>
      <c r="D1697" s="199" t="inlineStr">
        <is>
          <t>Kicks XV D</t>
        </is>
      </c>
      <c r="E1697" s="200" t="inlineStr">
        <is>
          <t>Fire Red</t>
        </is>
      </c>
    </row>
    <row r="1698" ht="15" customHeight="1">
      <c r="A1698" s="196" t="n">
        <v>1694</v>
      </c>
      <c r="B1698" s="197" t="inlineStr">
        <is>
          <t>Nissan</t>
        </is>
      </c>
      <c r="C1698" s="198" t="inlineStr">
        <is>
          <t>Kicks</t>
        </is>
      </c>
      <c r="D1698" s="199" t="inlineStr">
        <is>
          <t>Kicks XV D</t>
        </is>
      </c>
      <c r="E1698" s="200" t="inlineStr">
        <is>
          <t>Night Shade</t>
        </is>
      </c>
    </row>
    <row r="1699" ht="15" customHeight="1">
      <c r="A1699" s="196" t="n">
        <v>1695</v>
      </c>
      <c r="B1699" s="197" t="inlineStr">
        <is>
          <t>Nissan</t>
        </is>
      </c>
      <c r="C1699" s="198" t="inlineStr">
        <is>
          <t>Kicks</t>
        </is>
      </c>
      <c r="D1699" s="199" t="inlineStr">
        <is>
          <t>Kicks XV D</t>
        </is>
      </c>
      <c r="E1699" s="200" t="inlineStr">
        <is>
          <t>Pearl White</t>
        </is>
      </c>
    </row>
    <row r="1700" ht="15" customHeight="1">
      <c r="A1700" s="196" t="n">
        <v>1696</v>
      </c>
      <c r="B1700" s="197" t="inlineStr">
        <is>
          <t>Nissan</t>
        </is>
      </c>
      <c r="C1700" s="198" t="inlineStr">
        <is>
          <t>Kicks</t>
        </is>
      </c>
      <c r="D1700" s="199" t="inlineStr">
        <is>
          <t>Kicks XV Pre D</t>
        </is>
      </c>
      <c r="E1700" s="200" t="inlineStr">
        <is>
          <t>Blade Silver</t>
        </is>
      </c>
    </row>
    <row r="1701" ht="15" customHeight="1">
      <c r="A1701" s="196" t="n">
        <v>1697</v>
      </c>
      <c r="B1701" s="197" t="inlineStr">
        <is>
          <t>Nissan</t>
        </is>
      </c>
      <c r="C1701" s="198" t="inlineStr">
        <is>
          <t>Kicks</t>
        </is>
      </c>
      <c r="D1701" s="199" t="inlineStr">
        <is>
          <t>Kicks XV Pre D</t>
        </is>
      </c>
      <c r="E1701" s="200" t="inlineStr">
        <is>
          <t>Bronze Grey</t>
        </is>
      </c>
    </row>
    <row r="1702" ht="15" customHeight="1">
      <c r="A1702" s="196" t="n">
        <v>1698</v>
      </c>
      <c r="B1702" s="197" t="inlineStr">
        <is>
          <t>Nissan</t>
        </is>
      </c>
      <c r="C1702" s="198" t="inlineStr">
        <is>
          <t>Kicks</t>
        </is>
      </c>
      <c r="D1702" s="199" t="inlineStr">
        <is>
          <t>Kicks XV Pre D</t>
        </is>
      </c>
      <c r="E1702" s="200" t="inlineStr">
        <is>
          <t>Deep Blue Pearl</t>
        </is>
      </c>
    </row>
    <row r="1703" ht="15" customHeight="1">
      <c r="A1703" s="196" t="n">
        <v>1699</v>
      </c>
      <c r="B1703" s="197" t="inlineStr">
        <is>
          <t>Nissan</t>
        </is>
      </c>
      <c r="C1703" s="198" t="inlineStr">
        <is>
          <t>Kicks</t>
        </is>
      </c>
      <c r="D1703" s="199" t="inlineStr">
        <is>
          <t>Kicks XV Pre D</t>
        </is>
      </c>
      <c r="E1703" s="200" t="inlineStr">
        <is>
          <t>Fire Red</t>
        </is>
      </c>
    </row>
    <row r="1704" ht="15" customHeight="1">
      <c r="A1704" s="196" t="n">
        <v>1700</v>
      </c>
      <c r="B1704" s="197" t="inlineStr">
        <is>
          <t>Nissan</t>
        </is>
      </c>
      <c r="C1704" s="198" t="inlineStr">
        <is>
          <t>Kicks</t>
        </is>
      </c>
      <c r="D1704" s="199" t="inlineStr">
        <is>
          <t>Kicks XV Pre D</t>
        </is>
      </c>
      <c r="E1704" s="200" t="inlineStr">
        <is>
          <t>Night Shade</t>
        </is>
      </c>
    </row>
    <row r="1705" ht="15" customHeight="1">
      <c r="A1705" s="196" t="n">
        <v>1701</v>
      </c>
      <c r="B1705" s="197" t="inlineStr">
        <is>
          <t>Nissan</t>
        </is>
      </c>
      <c r="C1705" s="198" t="inlineStr">
        <is>
          <t>Kicks</t>
        </is>
      </c>
      <c r="D1705" s="199" t="inlineStr">
        <is>
          <t>Kicks XV Pre D</t>
        </is>
      </c>
      <c r="E1705" s="200" t="inlineStr">
        <is>
          <t>Pearl White</t>
        </is>
      </c>
    </row>
    <row r="1706" ht="15" customHeight="1">
      <c r="A1706" s="196" t="n">
        <v>1702</v>
      </c>
      <c r="B1706" s="197" t="inlineStr">
        <is>
          <t>Nissan</t>
        </is>
      </c>
      <c r="C1706" s="198" t="inlineStr">
        <is>
          <t>Kicks</t>
        </is>
      </c>
      <c r="D1706" s="199" t="inlineStr">
        <is>
          <t>Kicks XV Premium</t>
        </is>
      </c>
      <c r="E1706" s="200" t="inlineStr">
        <is>
          <t>Blade Silver</t>
        </is>
      </c>
    </row>
    <row r="1707" ht="15" customHeight="1">
      <c r="A1707" s="196" t="n">
        <v>1703</v>
      </c>
      <c r="B1707" s="197" t="inlineStr">
        <is>
          <t>Nissan</t>
        </is>
      </c>
      <c r="C1707" s="198" t="inlineStr">
        <is>
          <t>Kicks</t>
        </is>
      </c>
      <c r="D1707" s="199" t="inlineStr">
        <is>
          <t>Kicks XV Premium</t>
        </is>
      </c>
      <c r="E1707" s="200" t="inlineStr">
        <is>
          <t>Bronze Grey</t>
        </is>
      </c>
    </row>
    <row r="1708" ht="15" customHeight="1">
      <c r="A1708" s="196" t="n">
        <v>1704</v>
      </c>
      <c r="B1708" s="197" t="inlineStr">
        <is>
          <t>Nissan</t>
        </is>
      </c>
      <c r="C1708" s="198" t="inlineStr">
        <is>
          <t>Kicks</t>
        </is>
      </c>
      <c r="D1708" s="199" t="inlineStr">
        <is>
          <t>Kicks XV Premium</t>
        </is>
      </c>
      <c r="E1708" s="200" t="inlineStr">
        <is>
          <t>Deep Blue Pearl</t>
        </is>
      </c>
    </row>
    <row r="1709" ht="15" customHeight="1">
      <c r="A1709" s="196" t="n">
        <v>1705</v>
      </c>
      <c r="B1709" s="197" t="inlineStr">
        <is>
          <t>Nissan</t>
        </is>
      </c>
      <c r="C1709" s="198" t="inlineStr">
        <is>
          <t>Kicks</t>
        </is>
      </c>
      <c r="D1709" s="199" t="inlineStr">
        <is>
          <t>Kicks XV Premium</t>
        </is>
      </c>
      <c r="E1709" s="200" t="inlineStr">
        <is>
          <t>Fire Red</t>
        </is>
      </c>
    </row>
    <row r="1710" ht="15" customHeight="1">
      <c r="A1710" s="196" t="n">
        <v>1706</v>
      </c>
      <c r="B1710" s="197" t="inlineStr">
        <is>
          <t>Nissan</t>
        </is>
      </c>
      <c r="C1710" s="198" t="inlineStr">
        <is>
          <t>Kicks</t>
        </is>
      </c>
      <c r="D1710" s="199" t="inlineStr">
        <is>
          <t>Kicks XV Premium</t>
        </is>
      </c>
      <c r="E1710" s="200" t="inlineStr">
        <is>
          <t>Night Shade</t>
        </is>
      </c>
    </row>
    <row r="1711" ht="15" customHeight="1">
      <c r="A1711" s="196" t="n">
        <v>1707</v>
      </c>
      <c r="B1711" s="197" t="inlineStr">
        <is>
          <t>Nissan</t>
        </is>
      </c>
      <c r="C1711" s="198" t="inlineStr">
        <is>
          <t>Kicks</t>
        </is>
      </c>
      <c r="D1711" s="199" t="inlineStr">
        <is>
          <t>Kicks XV Premium</t>
        </is>
      </c>
      <c r="E1711" s="200" t="inlineStr">
        <is>
          <t>Pearl White</t>
        </is>
      </c>
    </row>
    <row r="1712" ht="15" customHeight="1">
      <c r="A1712" s="196" t="n">
        <v>1708</v>
      </c>
      <c r="B1712" s="197" t="inlineStr">
        <is>
          <t>Nissan</t>
        </is>
      </c>
      <c r="C1712" s="198" t="inlineStr">
        <is>
          <t>Kicks</t>
        </is>
      </c>
      <c r="D1712" s="199" t="inlineStr">
        <is>
          <t>Kicks XV Premium (O)</t>
        </is>
      </c>
      <c r="E1712" s="200" t="inlineStr">
        <is>
          <t>Blade Silver</t>
        </is>
      </c>
    </row>
    <row r="1713" ht="15" customHeight="1">
      <c r="A1713" s="196" t="n">
        <v>1709</v>
      </c>
      <c r="B1713" s="197" t="inlineStr">
        <is>
          <t>Nissan</t>
        </is>
      </c>
      <c r="C1713" s="198" t="inlineStr">
        <is>
          <t>Kicks</t>
        </is>
      </c>
      <c r="D1713" s="199" t="inlineStr">
        <is>
          <t>Kicks XV Premium (O)</t>
        </is>
      </c>
      <c r="E1713" s="200" t="inlineStr">
        <is>
          <t>Bronze Grey</t>
        </is>
      </c>
    </row>
    <row r="1714" ht="15" customHeight="1">
      <c r="A1714" s="196" t="n">
        <v>1710</v>
      </c>
      <c r="B1714" s="197" t="inlineStr">
        <is>
          <t>Nissan</t>
        </is>
      </c>
      <c r="C1714" s="198" t="inlineStr">
        <is>
          <t>Kicks</t>
        </is>
      </c>
      <c r="D1714" s="199" t="inlineStr">
        <is>
          <t>Kicks XV Premium (O)</t>
        </is>
      </c>
      <c r="E1714" s="200" t="inlineStr">
        <is>
          <t>Deep Blue Pearl</t>
        </is>
      </c>
    </row>
    <row r="1715" ht="15" customHeight="1">
      <c r="A1715" s="196" t="n">
        <v>1711</v>
      </c>
      <c r="B1715" s="197" t="inlineStr">
        <is>
          <t>Nissan</t>
        </is>
      </c>
      <c r="C1715" s="198" t="inlineStr">
        <is>
          <t>Kicks</t>
        </is>
      </c>
      <c r="D1715" s="199" t="inlineStr">
        <is>
          <t>Kicks XV Premium (O)</t>
        </is>
      </c>
      <c r="E1715" s="200" t="inlineStr">
        <is>
          <t>Fire Red</t>
        </is>
      </c>
    </row>
    <row r="1716" ht="15" customHeight="1">
      <c r="A1716" s="196" t="n">
        <v>1712</v>
      </c>
      <c r="B1716" s="197" t="inlineStr">
        <is>
          <t>Nissan</t>
        </is>
      </c>
      <c r="C1716" s="198" t="inlineStr">
        <is>
          <t>Kicks</t>
        </is>
      </c>
      <c r="D1716" s="199" t="inlineStr">
        <is>
          <t>Kicks XV Premium (O)</t>
        </is>
      </c>
      <c r="E1716" s="200" t="inlineStr">
        <is>
          <t>Night Shade</t>
        </is>
      </c>
    </row>
    <row r="1717" ht="15" customHeight="1">
      <c r="A1717" s="196" t="n">
        <v>1713</v>
      </c>
      <c r="B1717" s="197" t="inlineStr">
        <is>
          <t>Nissan</t>
        </is>
      </c>
      <c r="C1717" s="198" t="inlineStr">
        <is>
          <t>Kicks</t>
        </is>
      </c>
      <c r="D1717" s="199" t="inlineStr">
        <is>
          <t>Kicks XV Premium (O)</t>
        </is>
      </c>
      <c r="E1717" s="200" t="inlineStr">
        <is>
          <t>Pearl White</t>
        </is>
      </c>
    </row>
    <row r="1718" ht="15" customHeight="1">
      <c r="A1718" s="196" t="n">
        <v>1714</v>
      </c>
      <c r="B1718" s="197" t="inlineStr">
        <is>
          <t>Nissan</t>
        </is>
      </c>
      <c r="C1718" s="198" t="inlineStr">
        <is>
          <t>Magnite</t>
        </is>
      </c>
      <c r="D1718" s="199" t="inlineStr">
        <is>
          <t>Magnite Acenta</t>
        </is>
      </c>
      <c r="E1718" s="200" t="inlineStr">
        <is>
          <t>Blade Silver</t>
        </is>
      </c>
    </row>
    <row r="1719" ht="15" customHeight="1">
      <c r="A1719" s="196" t="n">
        <v>1715</v>
      </c>
      <c r="B1719" s="197" t="inlineStr">
        <is>
          <t>Nissan</t>
        </is>
      </c>
      <c r="C1719" s="198" t="inlineStr">
        <is>
          <t>Magnite</t>
        </is>
      </c>
      <c r="D1719" s="199" t="inlineStr">
        <is>
          <t>Magnite Acenta</t>
        </is>
      </c>
      <c r="E1719" s="200" t="inlineStr">
        <is>
          <t>Flare Garnet Red</t>
        </is>
      </c>
    </row>
    <row r="1720" ht="15" customHeight="1">
      <c r="A1720" s="196" t="n">
        <v>1716</v>
      </c>
      <c r="B1720" s="197" t="inlineStr">
        <is>
          <t>Nissan</t>
        </is>
      </c>
      <c r="C1720" s="198" t="inlineStr">
        <is>
          <t>Magnite</t>
        </is>
      </c>
      <c r="D1720" s="199" t="inlineStr">
        <is>
          <t>Magnite Acenta</t>
        </is>
      </c>
      <c r="E1720" s="200" t="inlineStr">
        <is>
          <t>Onyx Black</t>
        </is>
      </c>
    </row>
    <row r="1721" ht="15" customHeight="1">
      <c r="A1721" s="196" t="n">
        <v>1717</v>
      </c>
      <c r="B1721" s="197" t="inlineStr">
        <is>
          <t>Nissan</t>
        </is>
      </c>
      <c r="C1721" s="198" t="inlineStr">
        <is>
          <t>Magnite</t>
        </is>
      </c>
      <c r="D1721" s="199" t="inlineStr">
        <is>
          <t>Magnite Acenta</t>
        </is>
      </c>
      <c r="E1721" s="200" t="inlineStr">
        <is>
          <t>Storm White</t>
        </is>
      </c>
    </row>
    <row r="1722" ht="15" customHeight="1">
      <c r="A1722" s="196" t="n">
        <v>1718</v>
      </c>
      <c r="B1722" s="197" t="inlineStr">
        <is>
          <t>Nissan</t>
        </is>
      </c>
      <c r="C1722" s="198" t="inlineStr">
        <is>
          <t>Magnite</t>
        </is>
      </c>
      <c r="D1722" s="199" t="inlineStr">
        <is>
          <t>Magnite Kuro Edition</t>
        </is>
      </c>
      <c r="E1722" s="200" t="inlineStr">
        <is>
          <t>Onyx Black</t>
        </is>
      </c>
    </row>
    <row r="1723" ht="15" customHeight="1">
      <c r="A1723" s="196" t="n">
        <v>1719</v>
      </c>
      <c r="B1723" s="197" t="inlineStr">
        <is>
          <t>Nissan</t>
        </is>
      </c>
      <c r="C1723" s="198" t="inlineStr">
        <is>
          <t>Magnite</t>
        </is>
      </c>
      <c r="D1723" s="199" t="inlineStr">
        <is>
          <t>Magnite N-Connecta</t>
        </is>
      </c>
      <c r="E1723" s="200" t="inlineStr">
        <is>
          <t>Blade Silver</t>
        </is>
      </c>
    </row>
    <row r="1724" ht="15" customHeight="1">
      <c r="A1724" s="196" t="n">
        <v>1720</v>
      </c>
      <c r="B1724" s="197" t="inlineStr">
        <is>
          <t>Nissan</t>
        </is>
      </c>
      <c r="C1724" s="198" t="inlineStr">
        <is>
          <t>Magnite</t>
        </is>
      </c>
      <c r="D1724" s="199" t="inlineStr">
        <is>
          <t>Magnite N-Connecta</t>
        </is>
      </c>
      <c r="E1724" s="200" t="inlineStr">
        <is>
          <t>Flare Garnet Red</t>
        </is>
      </c>
    </row>
    <row r="1725" ht="15" customHeight="1">
      <c r="A1725" s="196" t="n">
        <v>1721</v>
      </c>
      <c r="B1725" s="197" t="inlineStr">
        <is>
          <t>Nissan</t>
        </is>
      </c>
      <c r="C1725" s="198" t="inlineStr">
        <is>
          <t>Magnite</t>
        </is>
      </c>
      <c r="D1725" s="199" t="inlineStr">
        <is>
          <t>Magnite N-Connecta</t>
        </is>
      </c>
      <c r="E1725" s="200" t="inlineStr">
        <is>
          <t>Onyx Black</t>
        </is>
      </c>
    </row>
    <row r="1726" ht="15" customHeight="1">
      <c r="A1726" s="196" t="n">
        <v>1722</v>
      </c>
      <c r="B1726" s="197" t="inlineStr">
        <is>
          <t>Nissan</t>
        </is>
      </c>
      <c r="C1726" s="198" t="inlineStr">
        <is>
          <t>Magnite</t>
        </is>
      </c>
      <c r="D1726" s="199" t="inlineStr">
        <is>
          <t>Magnite N-Connecta</t>
        </is>
      </c>
      <c r="E1726" s="200" t="inlineStr">
        <is>
          <t>Storm White</t>
        </is>
      </c>
    </row>
    <row r="1727" ht="15" customHeight="1">
      <c r="A1727" s="196" t="n">
        <v>1723</v>
      </c>
      <c r="B1727" s="197" t="inlineStr">
        <is>
          <t>Nissan</t>
        </is>
      </c>
      <c r="C1727" s="198" t="inlineStr">
        <is>
          <t>Magnite</t>
        </is>
      </c>
      <c r="D1727" s="199" t="inlineStr">
        <is>
          <t>Magnite N-Connecta</t>
        </is>
      </c>
      <c r="E1727" s="200" t="inlineStr">
        <is>
          <t>Sunrise Cooper Orange</t>
        </is>
      </c>
    </row>
    <row r="1728" ht="15" customHeight="1">
      <c r="A1728" s="196" t="n">
        <v>1724</v>
      </c>
      <c r="B1728" s="197" t="inlineStr">
        <is>
          <t>Nissan</t>
        </is>
      </c>
      <c r="C1728" s="198" t="inlineStr">
        <is>
          <t>Magnite</t>
        </is>
      </c>
      <c r="D1728" s="199" t="inlineStr">
        <is>
          <t>Magnite Tekna</t>
        </is>
      </c>
      <c r="E1728" s="200" t="inlineStr">
        <is>
          <t>Blade Silver</t>
        </is>
      </c>
    </row>
    <row r="1729" ht="15" customHeight="1">
      <c r="A1729" s="196" t="n">
        <v>1725</v>
      </c>
      <c r="B1729" s="197" t="inlineStr">
        <is>
          <t>Nissan</t>
        </is>
      </c>
      <c r="C1729" s="198" t="inlineStr">
        <is>
          <t>Magnite</t>
        </is>
      </c>
      <c r="D1729" s="199" t="inlineStr">
        <is>
          <t>Magnite Tekna</t>
        </is>
      </c>
      <c r="E1729" s="200" t="inlineStr">
        <is>
          <t>Flare Garnet Red</t>
        </is>
      </c>
    </row>
    <row r="1730" ht="15" customHeight="1">
      <c r="A1730" s="196" t="n">
        <v>1726</v>
      </c>
      <c r="B1730" s="197" t="inlineStr">
        <is>
          <t>Nissan</t>
        </is>
      </c>
      <c r="C1730" s="198" t="inlineStr">
        <is>
          <t>Magnite</t>
        </is>
      </c>
      <c r="D1730" s="199" t="inlineStr">
        <is>
          <t>Magnite Tekna</t>
        </is>
      </c>
      <c r="E1730" s="200" t="inlineStr">
        <is>
          <t>Metallic Grey</t>
        </is>
      </c>
    </row>
    <row r="1731" ht="15" customHeight="1">
      <c r="A1731" s="196" t="n">
        <v>1727</v>
      </c>
      <c r="B1731" s="197" t="inlineStr">
        <is>
          <t>Nissan</t>
        </is>
      </c>
      <c r="C1731" s="198" t="inlineStr">
        <is>
          <t>Magnite</t>
        </is>
      </c>
      <c r="D1731" s="199" t="inlineStr">
        <is>
          <t>Magnite Tekna</t>
        </is>
      </c>
      <c r="E1731" s="200" t="inlineStr">
        <is>
          <t>Onyx Black</t>
        </is>
      </c>
    </row>
    <row r="1732" ht="15" customHeight="1">
      <c r="A1732" s="196" t="n">
        <v>1728</v>
      </c>
      <c r="B1732" s="197" t="inlineStr">
        <is>
          <t>Nissan</t>
        </is>
      </c>
      <c r="C1732" s="198" t="inlineStr">
        <is>
          <t>Magnite</t>
        </is>
      </c>
      <c r="D1732" s="199" t="inlineStr">
        <is>
          <t>Magnite Tekna</t>
        </is>
      </c>
      <c r="E1732" s="200" t="inlineStr">
        <is>
          <t>Storm White</t>
        </is>
      </c>
    </row>
    <row r="1733" ht="15" customHeight="1">
      <c r="A1733" s="196" t="n">
        <v>1729</v>
      </c>
      <c r="B1733" s="197" t="inlineStr">
        <is>
          <t>Nissan</t>
        </is>
      </c>
      <c r="C1733" s="198" t="inlineStr">
        <is>
          <t>Magnite</t>
        </is>
      </c>
      <c r="D1733" s="199" t="inlineStr">
        <is>
          <t>Magnite Tekna</t>
        </is>
      </c>
      <c r="E1733" s="200" t="inlineStr">
        <is>
          <t>Sunrise Cooper Orange</t>
        </is>
      </c>
    </row>
    <row r="1734" ht="15" customHeight="1">
      <c r="A1734" s="196" t="n">
        <v>1730</v>
      </c>
      <c r="B1734" s="197" t="inlineStr">
        <is>
          <t>Nissan</t>
        </is>
      </c>
      <c r="C1734" s="198" t="inlineStr">
        <is>
          <t>Magnite</t>
        </is>
      </c>
      <c r="D1734" s="199" t="inlineStr">
        <is>
          <t>Magnite Tekna Plus</t>
        </is>
      </c>
      <c r="E1734" s="200" t="inlineStr">
        <is>
          <t>Blade Silver</t>
        </is>
      </c>
    </row>
    <row r="1735" ht="15" customHeight="1">
      <c r="A1735" s="196" t="n">
        <v>1731</v>
      </c>
      <c r="B1735" s="197" t="inlineStr">
        <is>
          <t>Nissan</t>
        </is>
      </c>
      <c r="C1735" s="198" t="inlineStr">
        <is>
          <t>Magnite</t>
        </is>
      </c>
      <c r="D1735" s="199" t="inlineStr">
        <is>
          <t>Magnite Tekna Plus</t>
        </is>
      </c>
      <c r="E1735" s="200" t="inlineStr">
        <is>
          <t>Flare Garnet Red</t>
        </is>
      </c>
    </row>
    <row r="1736" ht="15" customHeight="1">
      <c r="A1736" s="196" t="n">
        <v>1732</v>
      </c>
      <c r="B1736" s="197" t="inlineStr">
        <is>
          <t>Nissan</t>
        </is>
      </c>
      <c r="C1736" s="198" t="inlineStr">
        <is>
          <t>Magnite</t>
        </is>
      </c>
      <c r="D1736" s="199" t="inlineStr">
        <is>
          <t>Magnite Tekna Plus</t>
        </is>
      </c>
      <c r="E1736" s="200" t="inlineStr">
        <is>
          <t>Metallic Grey</t>
        </is>
      </c>
    </row>
    <row r="1737" ht="15" customHeight="1">
      <c r="A1737" s="196" t="n">
        <v>1733</v>
      </c>
      <c r="B1737" s="197" t="inlineStr">
        <is>
          <t>Nissan</t>
        </is>
      </c>
      <c r="C1737" s="198" t="inlineStr">
        <is>
          <t>Magnite</t>
        </is>
      </c>
      <c r="D1737" s="199" t="inlineStr">
        <is>
          <t>Magnite Tekna Plus</t>
        </is>
      </c>
      <c r="E1737" s="200" t="inlineStr">
        <is>
          <t>Onyx Black</t>
        </is>
      </c>
    </row>
    <row r="1738" ht="15" customHeight="1">
      <c r="A1738" s="196" t="n">
        <v>1734</v>
      </c>
      <c r="B1738" s="197" t="inlineStr">
        <is>
          <t>Nissan</t>
        </is>
      </c>
      <c r="C1738" s="198" t="inlineStr">
        <is>
          <t>Magnite</t>
        </is>
      </c>
      <c r="D1738" s="199" t="inlineStr">
        <is>
          <t>Magnite Tekna Plus</t>
        </is>
      </c>
      <c r="E1738" s="200" t="inlineStr">
        <is>
          <t>Storm White</t>
        </is>
      </c>
    </row>
    <row r="1739" ht="15" customHeight="1">
      <c r="A1739" s="196" t="n">
        <v>1735</v>
      </c>
      <c r="B1739" s="197" t="inlineStr">
        <is>
          <t>Nissan</t>
        </is>
      </c>
      <c r="C1739" s="198" t="inlineStr">
        <is>
          <t>Magnite</t>
        </is>
      </c>
      <c r="D1739" s="199" t="inlineStr">
        <is>
          <t>Magnite Tekna Plus</t>
        </is>
      </c>
      <c r="E1739" s="200" t="inlineStr">
        <is>
          <t>Sunrise Cooper Orange</t>
        </is>
      </c>
    </row>
    <row r="1740" ht="15" customHeight="1">
      <c r="A1740" s="196" t="n">
        <v>1736</v>
      </c>
      <c r="B1740" s="197" t="inlineStr">
        <is>
          <t>Nissan</t>
        </is>
      </c>
      <c r="C1740" s="198" t="inlineStr">
        <is>
          <t>Magnite</t>
        </is>
      </c>
      <c r="D1740" s="199" t="inlineStr">
        <is>
          <t>Magnite Visia</t>
        </is>
      </c>
      <c r="E1740" s="200" t="inlineStr">
        <is>
          <t>Blade Silver</t>
        </is>
      </c>
    </row>
    <row r="1741" ht="15" customHeight="1">
      <c r="A1741" s="196" t="n">
        <v>1737</v>
      </c>
      <c r="B1741" s="197" t="inlineStr">
        <is>
          <t>Nissan</t>
        </is>
      </c>
      <c r="C1741" s="198" t="inlineStr">
        <is>
          <t>Magnite</t>
        </is>
      </c>
      <c r="D1741" s="199" t="inlineStr">
        <is>
          <t>Magnite Visia</t>
        </is>
      </c>
      <c r="E1741" s="200" t="inlineStr">
        <is>
          <t>Storm White</t>
        </is>
      </c>
    </row>
    <row r="1742" ht="15" customHeight="1">
      <c r="A1742" s="196" t="n">
        <v>1738</v>
      </c>
      <c r="B1742" s="197" t="inlineStr">
        <is>
          <t>Nissan</t>
        </is>
      </c>
      <c r="C1742" s="198" t="inlineStr">
        <is>
          <t>Magnite</t>
        </is>
      </c>
      <c r="D1742" s="199" t="inlineStr">
        <is>
          <t>Magnite Visia Plus</t>
        </is>
      </c>
      <c r="E1742" s="200" t="inlineStr">
        <is>
          <t>Blade Silver</t>
        </is>
      </c>
    </row>
    <row r="1743" ht="15" customHeight="1">
      <c r="A1743" s="196" t="n">
        <v>1739</v>
      </c>
      <c r="B1743" s="197" t="inlineStr">
        <is>
          <t>Nissan</t>
        </is>
      </c>
      <c r="C1743" s="198" t="inlineStr">
        <is>
          <t>Magnite</t>
        </is>
      </c>
      <c r="D1743" s="199" t="inlineStr">
        <is>
          <t>Magnite Visia Plus</t>
        </is>
      </c>
      <c r="E1743" s="200" t="inlineStr">
        <is>
          <t>Onyx Black</t>
        </is>
      </c>
    </row>
    <row r="1744" ht="15" customHeight="1">
      <c r="A1744" s="196" t="n">
        <v>1740</v>
      </c>
      <c r="B1744" s="197" t="inlineStr">
        <is>
          <t>Nissan</t>
        </is>
      </c>
      <c r="C1744" s="198" t="inlineStr">
        <is>
          <t>Magnite</t>
        </is>
      </c>
      <c r="D1744" s="199" t="inlineStr">
        <is>
          <t>Magnite Visia Plus</t>
        </is>
      </c>
      <c r="E1744" s="200" t="inlineStr">
        <is>
          <t>Storm White</t>
        </is>
      </c>
    </row>
    <row r="1745" ht="15" customHeight="1">
      <c r="A1745" s="196" t="n">
        <v>1741</v>
      </c>
      <c r="B1745" s="197" t="inlineStr">
        <is>
          <t>Nissan</t>
        </is>
      </c>
      <c r="C1745" s="198" t="inlineStr">
        <is>
          <t>Terrano</t>
        </is>
      </c>
      <c r="D1745" s="199" t="inlineStr">
        <is>
          <t>Terrano Sport</t>
        </is>
      </c>
      <c r="E1745" s="200" t="inlineStr">
        <is>
          <t>Blade Silver</t>
        </is>
      </c>
    </row>
    <row r="1746" ht="15" customHeight="1">
      <c r="A1746" s="196" t="n">
        <v>1742</v>
      </c>
      <c r="B1746" s="197" t="inlineStr">
        <is>
          <t>Nissan</t>
        </is>
      </c>
      <c r="C1746" s="198" t="inlineStr">
        <is>
          <t>Terrano</t>
        </is>
      </c>
      <c r="D1746" s="199" t="inlineStr">
        <is>
          <t>Terrano Sport</t>
        </is>
      </c>
      <c r="E1746" s="200" t="inlineStr">
        <is>
          <t>Bronze Grey</t>
        </is>
      </c>
    </row>
    <row r="1747" ht="15" customHeight="1">
      <c r="A1747" s="196" t="n">
        <v>1743</v>
      </c>
      <c r="B1747" s="197" t="inlineStr">
        <is>
          <t>Nissan</t>
        </is>
      </c>
      <c r="C1747" s="198" t="inlineStr">
        <is>
          <t>Terrano</t>
        </is>
      </c>
      <c r="D1747" s="199" t="inlineStr">
        <is>
          <t>Terrano Sport</t>
        </is>
      </c>
      <c r="E1747" s="200" t="inlineStr">
        <is>
          <t>Fire Red</t>
        </is>
      </c>
    </row>
    <row r="1748" ht="15" customHeight="1">
      <c r="A1748" s="196" t="n">
        <v>1744</v>
      </c>
      <c r="B1748" s="197" t="inlineStr">
        <is>
          <t>Nissan</t>
        </is>
      </c>
      <c r="C1748" s="198" t="inlineStr">
        <is>
          <t>Terrano</t>
        </is>
      </c>
      <c r="D1748" s="199" t="inlineStr">
        <is>
          <t>Terrano Sport</t>
        </is>
      </c>
      <c r="E1748" s="200" t="inlineStr">
        <is>
          <t>Pearl White</t>
        </is>
      </c>
    </row>
    <row r="1749" ht="15" customHeight="1">
      <c r="A1749" s="196" t="n">
        <v>1745</v>
      </c>
      <c r="B1749" s="197" t="inlineStr">
        <is>
          <t>Nissan</t>
        </is>
      </c>
      <c r="C1749" s="198" t="inlineStr">
        <is>
          <t>Terrano</t>
        </is>
      </c>
      <c r="D1749" s="199" t="inlineStr">
        <is>
          <t>Terrano Sport</t>
        </is>
      </c>
      <c r="E1749" s="200" t="inlineStr">
        <is>
          <t>Sandstone Brown</t>
        </is>
      </c>
    </row>
    <row r="1750" ht="15" customHeight="1">
      <c r="A1750" s="196" t="n">
        <v>1746</v>
      </c>
      <c r="B1750" s="197" t="inlineStr">
        <is>
          <t>Nissan</t>
        </is>
      </c>
      <c r="C1750" s="198" t="inlineStr">
        <is>
          <t>Terrano</t>
        </is>
      </c>
      <c r="D1750" s="199" t="inlineStr">
        <is>
          <t>Terrano Sport</t>
        </is>
      </c>
      <c r="E1750" s="200" t="inlineStr">
        <is>
          <t>Sapphire Black</t>
        </is>
      </c>
    </row>
    <row r="1751" ht="15" customHeight="1">
      <c r="A1751" s="196" t="n">
        <v>1747</v>
      </c>
      <c r="B1751" s="197" t="inlineStr">
        <is>
          <t>Nissan</t>
        </is>
      </c>
      <c r="C1751" s="198" t="inlineStr">
        <is>
          <t>Terrano</t>
        </is>
      </c>
      <c r="D1751" s="199" t="inlineStr">
        <is>
          <t>Terrano XE</t>
        </is>
      </c>
      <c r="E1751" s="200" t="inlineStr">
        <is>
          <t>Blade Silver</t>
        </is>
      </c>
    </row>
    <row r="1752" ht="15" customHeight="1">
      <c r="A1752" s="196" t="n">
        <v>1748</v>
      </c>
      <c r="B1752" s="197" t="inlineStr">
        <is>
          <t>Nissan</t>
        </is>
      </c>
      <c r="C1752" s="198" t="inlineStr">
        <is>
          <t>Terrano</t>
        </is>
      </c>
      <c r="D1752" s="199" t="inlineStr">
        <is>
          <t>Terrano XE</t>
        </is>
      </c>
      <c r="E1752" s="200" t="inlineStr">
        <is>
          <t>Bronze Grey</t>
        </is>
      </c>
    </row>
    <row r="1753" ht="15" customHeight="1">
      <c r="A1753" s="196" t="n">
        <v>1749</v>
      </c>
      <c r="B1753" s="197" t="inlineStr">
        <is>
          <t>Nissan</t>
        </is>
      </c>
      <c r="C1753" s="198" t="inlineStr">
        <is>
          <t>Terrano</t>
        </is>
      </c>
      <c r="D1753" s="199" t="inlineStr">
        <is>
          <t>Terrano XE</t>
        </is>
      </c>
      <c r="E1753" s="200" t="inlineStr">
        <is>
          <t>Fire Red</t>
        </is>
      </c>
    </row>
    <row r="1754" ht="15" customHeight="1">
      <c r="A1754" s="196" t="n">
        <v>1750</v>
      </c>
      <c r="B1754" s="197" t="inlineStr">
        <is>
          <t>Nissan</t>
        </is>
      </c>
      <c r="C1754" s="198" t="inlineStr">
        <is>
          <t>Terrano</t>
        </is>
      </c>
      <c r="D1754" s="199" t="inlineStr">
        <is>
          <t>Terrano XE</t>
        </is>
      </c>
      <c r="E1754" s="200" t="inlineStr">
        <is>
          <t>Pearl White</t>
        </is>
      </c>
    </row>
    <row r="1755" ht="15" customHeight="1">
      <c r="A1755" s="196" t="n">
        <v>1751</v>
      </c>
      <c r="B1755" s="197" t="inlineStr">
        <is>
          <t>Nissan</t>
        </is>
      </c>
      <c r="C1755" s="198" t="inlineStr">
        <is>
          <t>Terrano</t>
        </is>
      </c>
      <c r="D1755" s="199" t="inlineStr">
        <is>
          <t>Terrano XE</t>
        </is>
      </c>
      <c r="E1755" s="200" t="inlineStr">
        <is>
          <t>Sandstone Brown</t>
        </is>
      </c>
    </row>
    <row r="1756" ht="15" customHeight="1">
      <c r="A1756" s="196" t="n">
        <v>1752</v>
      </c>
      <c r="B1756" s="197" t="inlineStr">
        <is>
          <t>Nissan</t>
        </is>
      </c>
      <c r="C1756" s="198" t="inlineStr">
        <is>
          <t>Terrano</t>
        </is>
      </c>
      <c r="D1756" s="199" t="inlineStr">
        <is>
          <t>Terrano XL</t>
        </is>
      </c>
      <c r="E1756" s="200" t="inlineStr">
        <is>
          <t>Blade Silver</t>
        </is>
      </c>
    </row>
    <row r="1757" ht="15" customHeight="1">
      <c r="A1757" s="196" t="n">
        <v>1753</v>
      </c>
      <c r="B1757" s="197" t="inlineStr">
        <is>
          <t>Nissan</t>
        </is>
      </c>
      <c r="C1757" s="198" t="inlineStr">
        <is>
          <t>Terrano</t>
        </is>
      </c>
      <c r="D1757" s="199" t="inlineStr">
        <is>
          <t>Terrano XL</t>
        </is>
      </c>
      <c r="E1757" s="200" t="inlineStr">
        <is>
          <t>Bronze Grey</t>
        </is>
      </c>
    </row>
    <row r="1758" ht="15" customHeight="1">
      <c r="A1758" s="196" t="n">
        <v>1754</v>
      </c>
      <c r="B1758" s="197" t="inlineStr">
        <is>
          <t>Nissan</t>
        </is>
      </c>
      <c r="C1758" s="198" t="inlineStr">
        <is>
          <t>Terrano</t>
        </is>
      </c>
      <c r="D1758" s="199" t="inlineStr">
        <is>
          <t>Terrano XL</t>
        </is>
      </c>
      <c r="E1758" s="200" t="inlineStr">
        <is>
          <t>Fire Red</t>
        </is>
      </c>
    </row>
    <row r="1759" ht="15" customHeight="1">
      <c r="A1759" s="196" t="n">
        <v>1755</v>
      </c>
      <c r="B1759" s="197" t="inlineStr">
        <is>
          <t>Nissan</t>
        </is>
      </c>
      <c r="C1759" s="198" t="inlineStr">
        <is>
          <t>Terrano</t>
        </is>
      </c>
      <c r="D1759" s="199" t="inlineStr">
        <is>
          <t>Terrano XL</t>
        </is>
      </c>
      <c r="E1759" s="200" t="inlineStr">
        <is>
          <t>Pearl White</t>
        </is>
      </c>
    </row>
    <row r="1760" ht="15" customHeight="1">
      <c r="A1760" s="196" t="n">
        <v>1756</v>
      </c>
      <c r="B1760" s="197" t="inlineStr">
        <is>
          <t>Nissan</t>
        </is>
      </c>
      <c r="C1760" s="198" t="inlineStr">
        <is>
          <t>Terrano</t>
        </is>
      </c>
      <c r="D1760" s="199" t="inlineStr">
        <is>
          <t>Terrano XL</t>
        </is>
      </c>
      <c r="E1760" s="200" t="inlineStr">
        <is>
          <t>Sandstone Brown</t>
        </is>
      </c>
    </row>
    <row r="1761" ht="15" customHeight="1">
      <c r="A1761" s="196" t="n">
        <v>1757</v>
      </c>
      <c r="B1761" s="197" t="inlineStr">
        <is>
          <t>Nissan</t>
        </is>
      </c>
      <c r="C1761" s="198" t="inlineStr">
        <is>
          <t>Terrano</t>
        </is>
      </c>
      <c r="D1761" s="199" t="inlineStr">
        <is>
          <t>Terrano XL</t>
        </is>
      </c>
      <c r="E1761" s="200" t="inlineStr">
        <is>
          <t>Sapphire Black</t>
        </is>
      </c>
    </row>
    <row r="1762" ht="15" customHeight="1">
      <c r="A1762" s="196" t="n">
        <v>1758</v>
      </c>
      <c r="B1762" s="197" t="inlineStr">
        <is>
          <t>Nissan</t>
        </is>
      </c>
      <c r="C1762" s="198" t="inlineStr">
        <is>
          <t>Terrano</t>
        </is>
      </c>
      <c r="D1762" s="199" t="inlineStr">
        <is>
          <t>Terrano XL O</t>
        </is>
      </c>
      <c r="E1762" s="200" t="inlineStr">
        <is>
          <t>Blade Silver</t>
        </is>
      </c>
    </row>
    <row r="1763" ht="15" customHeight="1">
      <c r="A1763" s="196" t="n">
        <v>1759</v>
      </c>
      <c r="B1763" s="197" t="inlineStr">
        <is>
          <t>Nissan</t>
        </is>
      </c>
      <c r="C1763" s="198" t="inlineStr">
        <is>
          <t>Terrano</t>
        </is>
      </c>
      <c r="D1763" s="199" t="inlineStr">
        <is>
          <t>Terrano XL O</t>
        </is>
      </c>
      <c r="E1763" s="200" t="inlineStr">
        <is>
          <t>Bronze Grey</t>
        </is>
      </c>
    </row>
    <row r="1764" ht="15" customHeight="1">
      <c r="A1764" s="196" t="n">
        <v>1760</v>
      </c>
      <c r="B1764" s="197" t="inlineStr">
        <is>
          <t>Nissan</t>
        </is>
      </c>
      <c r="C1764" s="198" t="inlineStr">
        <is>
          <t>Terrano</t>
        </is>
      </c>
      <c r="D1764" s="199" t="inlineStr">
        <is>
          <t>Terrano XL O</t>
        </is>
      </c>
      <c r="E1764" s="200" t="inlineStr">
        <is>
          <t>Fire Red</t>
        </is>
      </c>
    </row>
    <row r="1765" ht="15" customHeight="1">
      <c r="A1765" s="196" t="n">
        <v>1761</v>
      </c>
      <c r="B1765" s="197" t="inlineStr">
        <is>
          <t>Nissan</t>
        </is>
      </c>
      <c r="C1765" s="198" t="inlineStr">
        <is>
          <t>Terrano</t>
        </is>
      </c>
      <c r="D1765" s="199" t="inlineStr">
        <is>
          <t>Terrano XL O</t>
        </is>
      </c>
      <c r="E1765" s="200" t="inlineStr">
        <is>
          <t>Pearl White</t>
        </is>
      </c>
    </row>
    <row r="1766" ht="15" customHeight="1">
      <c r="A1766" s="196" t="n">
        <v>1762</v>
      </c>
      <c r="B1766" s="197" t="inlineStr">
        <is>
          <t>Nissan</t>
        </is>
      </c>
      <c r="C1766" s="198" t="inlineStr">
        <is>
          <t>Terrano</t>
        </is>
      </c>
      <c r="D1766" s="199" t="inlineStr">
        <is>
          <t>Terrano XL O</t>
        </is>
      </c>
      <c r="E1766" s="200" t="inlineStr">
        <is>
          <t>Sandstone Brown</t>
        </is>
      </c>
    </row>
    <row r="1767" ht="15" customHeight="1">
      <c r="A1767" s="196" t="n">
        <v>1763</v>
      </c>
      <c r="B1767" s="197" t="inlineStr">
        <is>
          <t>Nissan</t>
        </is>
      </c>
      <c r="C1767" s="198" t="inlineStr">
        <is>
          <t>Terrano</t>
        </is>
      </c>
      <c r="D1767" s="199" t="inlineStr">
        <is>
          <t>Terrano XL O</t>
        </is>
      </c>
      <c r="E1767" s="200" t="inlineStr">
        <is>
          <t>Sapphire Black</t>
        </is>
      </c>
    </row>
    <row r="1768" ht="15" customHeight="1">
      <c r="A1768" s="196" t="n">
        <v>1764</v>
      </c>
      <c r="B1768" s="197" t="inlineStr">
        <is>
          <t>Nissan</t>
        </is>
      </c>
      <c r="C1768" s="198" t="inlineStr">
        <is>
          <t>Terrano</t>
        </is>
      </c>
      <c r="D1768" s="199" t="inlineStr">
        <is>
          <t>Terrano XV Premium</t>
        </is>
      </c>
      <c r="E1768" s="200" t="inlineStr">
        <is>
          <t>Blade Silver</t>
        </is>
      </c>
    </row>
    <row r="1769" ht="15" customHeight="1">
      <c r="A1769" s="196" t="n">
        <v>1765</v>
      </c>
      <c r="B1769" s="197" t="inlineStr">
        <is>
          <t>Nissan</t>
        </is>
      </c>
      <c r="C1769" s="198" t="inlineStr">
        <is>
          <t>Terrano</t>
        </is>
      </c>
      <c r="D1769" s="199" t="inlineStr">
        <is>
          <t>Terrano XV Premium</t>
        </is>
      </c>
      <c r="E1769" s="200" t="inlineStr">
        <is>
          <t>Bronze Grey</t>
        </is>
      </c>
    </row>
    <row r="1770" ht="15" customHeight="1">
      <c r="A1770" s="196" t="n">
        <v>1766</v>
      </c>
      <c r="B1770" s="197" t="inlineStr">
        <is>
          <t>Nissan</t>
        </is>
      </c>
      <c r="C1770" s="198" t="inlineStr">
        <is>
          <t>Terrano</t>
        </is>
      </c>
      <c r="D1770" s="199" t="inlineStr">
        <is>
          <t>Terrano XV Premium</t>
        </is>
      </c>
      <c r="E1770" s="200" t="inlineStr">
        <is>
          <t>Fire Red</t>
        </is>
      </c>
    </row>
    <row r="1771" ht="15" customHeight="1">
      <c r="A1771" s="196" t="n">
        <v>1767</v>
      </c>
      <c r="B1771" s="197" t="inlineStr">
        <is>
          <t>Nissan</t>
        </is>
      </c>
      <c r="C1771" s="198" t="inlineStr">
        <is>
          <t>Terrano</t>
        </is>
      </c>
      <c r="D1771" s="199" t="inlineStr">
        <is>
          <t>Terrano XV Premium</t>
        </is>
      </c>
      <c r="E1771" s="200" t="inlineStr">
        <is>
          <t>Pearl White</t>
        </is>
      </c>
    </row>
    <row r="1772" ht="15" customHeight="1">
      <c r="A1772" s="196" t="n">
        <v>1768</v>
      </c>
      <c r="B1772" s="197" t="inlineStr">
        <is>
          <t>Nissan</t>
        </is>
      </c>
      <c r="C1772" s="198" t="inlineStr">
        <is>
          <t>Terrano</t>
        </is>
      </c>
      <c r="D1772" s="199" t="inlineStr">
        <is>
          <t>Terrano XV Premium</t>
        </is>
      </c>
      <c r="E1772" s="200" t="inlineStr">
        <is>
          <t>Sandstone Brown</t>
        </is>
      </c>
    </row>
    <row r="1773" ht="15" customHeight="1">
      <c r="A1773" s="196" t="n">
        <v>1769</v>
      </c>
      <c r="B1773" s="197" t="inlineStr">
        <is>
          <t>Nissan</t>
        </is>
      </c>
      <c r="C1773" s="198" t="inlineStr">
        <is>
          <t>Terrano</t>
        </is>
      </c>
      <c r="D1773" s="199" t="inlineStr">
        <is>
          <t>Terrano XV Premium</t>
        </is>
      </c>
      <c r="E1773" s="200" t="inlineStr">
        <is>
          <t>Sapphire Black</t>
        </is>
      </c>
    </row>
    <row r="1774" ht="15" customHeight="1">
      <c r="A1774" s="196" t="n">
        <v>1770</v>
      </c>
      <c r="B1774" s="197" t="inlineStr">
        <is>
          <t>Nissan</t>
        </is>
      </c>
      <c r="C1774" s="198" t="inlineStr">
        <is>
          <t>X-Trail</t>
        </is>
      </c>
      <c r="D1774" s="199" t="inlineStr">
        <is>
          <t>Standard</t>
        </is>
      </c>
      <c r="E1774" s="200" t="inlineStr">
        <is>
          <t>Champagne silver</t>
        </is>
      </c>
    </row>
    <row r="1775" ht="15" customHeight="1">
      <c r="A1775" s="196" t="n">
        <v>1771</v>
      </c>
      <c r="B1775" s="197" t="inlineStr">
        <is>
          <t>Nissan</t>
        </is>
      </c>
      <c r="C1775" s="198" t="inlineStr">
        <is>
          <t>X-Trail</t>
        </is>
      </c>
      <c r="D1775" s="199" t="inlineStr">
        <is>
          <t>Standard</t>
        </is>
      </c>
      <c r="E1775" s="200" t="inlineStr">
        <is>
          <t>Diamond Black</t>
        </is>
      </c>
    </row>
    <row r="1776" ht="15" customHeight="1">
      <c r="A1776" s="196" t="n">
        <v>1772</v>
      </c>
      <c r="B1776" s="197" t="inlineStr">
        <is>
          <t>Nissan</t>
        </is>
      </c>
      <c r="C1776" s="198" t="inlineStr">
        <is>
          <t>X-Trail</t>
        </is>
      </c>
      <c r="D1776" s="199" t="inlineStr">
        <is>
          <t>Standard</t>
        </is>
      </c>
      <c r="E1776" s="200" t="inlineStr">
        <is>
          <t>Pearl White</t>
        </is>
      </c>
    </row>
    <row r="1777" ht="15" customHeight="1">
      <c r="A1777" s="226" t="n">
        <v>1773</v>
      </c>
      <c r="B1777" s="227" t="inlineStr">
        <is>
          <t>Renault</t>
        </is>
      </c>
      <c r="C1777" s="228" t="inlineStr">
        <is>
          <t>Duster</t>
        </is>
      </c>
      <c r="D1777" s="229" t="inlineStr">
        <is>
          <t>Duster Authentic</t>
        </is>
      </c>
      <c r="E1777" s="230" t="inlineStr">
        <is>
          <t>Duster Emotion</t>
        </is>
      </c>
    </row>
    <row r="1778" ht="15" customHeight="1">
      <c r="A1778" s="226" t="n">
        <v>1774</v>
      </c>
      <c r="B1778" s="227" t="inlineStr">
        <is>
          <t>Renault</t>
        </is>
      </c>
      <c r="C1778" s="228" t="inlineStr">
        <is>
          <t>Duster</t>
        </is>
      </c>
      <c r="D1778" s="229" t="inlineStr">
        <is>
          <t>Duster Authentic</t>
        </is>
      </c>
      <c r="E1778" s="230" t="inlineStr">
        <is>
          <t>Moonlight Silver</t>
        </is>
      </c>
    </row>
    <row r="1779" ht="15" customHeight="1">
      <c r="A1779" s="226" t="n">
        <v>1775</v>
      </c>
      <c r="B1779" s="227" t="inlineStr">
        <is>
          <t>Renault</t>
        </is>
      </c>
      <c r="C1779" s="228" t="inlineStr">
        <is>
          <t>Duster</t>
        </is>
      </c>
      <c r="D1779" s="229" t="inlineStr">
        <is>
          <t>Duster Authentic</t>
        </is>
      </c>
      <c r="E1779" s="230" t="inlineStr">
        <is>
          <t>Pearl White</t>
        </is>
      </c>
    </row>
    <row r="1780" ht="15" customHeight="1">
      <c r="A1780" s="226" t="n">
        <v>1776</v>
      </c>
      <c r="B1780" s="227" t="inlineStr">
        <is>
          <t>Renault</t>
        </is>
      </c>
      <c r="C1780" s="228" t="inlineStr">
        <is>
          <t>Duster</t>
        </is>
      </c>
      <c r="D1780" s="229" t="inlineStr">
        <is>
          <t>Duster Emotion</t>
        </is>
      </c>
      <c r="E1780" s="230" t="inlineStr">
        <is>
          <t>Mountain Jade Green</t>
        </is>
      </c>
    </row>
    <row r="1781" ht="15" customHeight="1">
      <c r="A1781" s="226" t="n">
        <v>1777</v>
      </c>
      <c r="B1781" s="227" t="inlineStr">
        <is>
          <t>Renault</t>
        </is>
      </c>
      <c r="C1781" s="228" t="inlineStr">
        <is>
          <t>Duster</t>
        </is>
      </c>
      <c r="D1781" s="229" t="inlineStr">
        <is>
          <t>Duster Emotion</t>
        </is>
      </c>
      <c r="E1781" s="230" t="inlineStr">
        <is>
          <t>River Blue</t>
        </is>
      </c>
    </row>
    <row r="1782" ht="15" customHeight="1">
      <c r="A1782" s="226" t="n">
        <v>1778</v>
      </c>
      <c r="B1782" s="227" t="inlineStr">
        <is>
          <t>Renault</t>
        </is>
      </c>
      <c r="C1782" s="228" t="inlineStr">
        <is>
          <t>Duster</t>
        </is>
      </c>
      <c r="D1782" s="229" t="inlineStr">
        <is>
          <t>Duster Emotion</t>
        </is>
      </c>
      <c r="E1782" s="230" t="inlineStr">
        <is>
          <t>Stealth Black</t>
        </is>
      </c>
    </row>
    <row r="1783" ht="15" customHeight="1">
      <c r="A1783" s="226" t="n">
        <v>1779</v>
      </c>
      <c r="B1783" s="227" t="inlineStr">
        <is>
          <t>Renault</t>
        </is>
      </c>
      <c r="C1783" s="228" t="inlineStr">
        <is>
          <t>Duster</t>
        </is>
      </c>
      <c r="D1783" s="229" t="inlineStr">
        <is>
          <t>Duster Emotion</t>
        </is>
      </c>
      <c r="E1783" s="230" t="inlineStr">
        <is>
          <t>Sunset Red</t>
        </is>
      </c>
    </row>
    <row r="1784" ht="15" customHeight="1">
      <c r="A1784" s="226" t="n">
        <v>1780</v>
      </c>
      <c r="B1784" s="227" t="inlineStr">
        <is>
          <t>Renault</t>
        </is>
      </c>
      <c r="C1784" s="228" t="inlineStr">
        <is>
          <t>Duster</t>
        </is>
      </c>
      <c r="D1784" s="229" t="inlineStr">
        <is>
          <t>Duster Evolution</t>
        </is>
      </c>
      <c r="E1784" s="230" t="inlineStr">
        <is>
          <t>Moonlight Silver</t>
        </is>
      </c>
    </row>
    <row r="1785" ht="15" customHeight="1">
      <c r="A1785" s="226" t="n">
        <v>1781</v>
      </c>
      <c r="B1785" s="227" t="inlineStr">
        <is>
          <t>Renault</t>
        </is>
      </c>
      <c r="C1785" s="228" t="inlineStr">
        <is>
          <t>Duster</t>
        </is>
      </c>
      <c r="D1785" s="229" t="inlineStr">
        <is>
          <t>Duster Evolution</t>
        </is>
      </c>
      <c r="E1785" s="230" t="inlineStr">
        <is>
          <t>Pearl White</t>
        </is>
      </c>
    </row>
    <row r="1786" ht="15" customHeight="1">
      <c r="A1786" s="226" t="n">
        <v>1782</v>
      </c>
      <c r="B1786" s="227" t="inlineStr">
        <is>
          <t>Renault</t>
        </is>
      </c>
      <c r="C1786" s="228" t="inlineStr">
        <is>
          <t>Duster</t>
        </is>
      </c>
      <c r="D1786" s="229" t="inlineStr">
        <is>
          <t>Duster Evolution</t>
        </is>
      </c>
      <c r="E1786" s="230" t="inlineStr">
        <is>
          <t>Stealth Black</t>
        </is>
      </c>
    </row>
    <row r="1787" ht="15" customHeight="1">
      <c r="A1787" s="226" t="n">
        <v>1783</v>
      </c>
      <c r="B1787" s="227" t="inlineStr">
        <is>
          <t>Renault</t>
        </is>
      </c>
      <c r="C1787" s="228" t="inlineStr">
        <is>
          <t>Duster</t>
        </is>
      </c>
      <c r="D1787" s="229" t="inlineStr">
        <is>
          <t>Duster Iconic</t>
        </is>
      </c>
      <c r="E1787" s="230" t="inlineStr">
        <is>
          <t>Moonlight Silver</t>
        </is>
      </c>
    </row>
    <row r="1788" ht="15" customHeight="1">
      <c r="A1788" s="226" t="n">
        <v>1784</v>
      </c>
      <c r="B1788" s="227" t="inlineStr">
        <is>
          <t>Renault</t>
        </is>
      </c>
      <c r="C1788" s="228" t="inlineStr">
        <is>
          <t>Duster</t>
        </is>
      </c>
      <c r="D1788" s="229" t="inlineStr">
        <is>
          <t>Duster Iconic</t>
        </is>
      </c>
      <c r="E1788" s="230" t="inlineStr">
        <is>
          <t>Pearl White</t>
        </is>
      </c>
    </row>
    <row r="1789" ht="15" customHeight="1">
      <c r="A1789" s="226" t="n">
        <v>1785</v>
      </c>
      <c r="B1789" s="227" t="inlineStr">
        <is>
          <t>Renault</t>
        </is>
      </c>
      <c r="C1789" s="228" t="inlineStr">
        <is>
          <t>Duster</t>
        </is>
      </c>
      <c r="D1789" s="229" t="inlineStr">
        <is>
          <t>Duster Iconic</t>
        </is>
      </c>
      <c r="E1789" s="230" t="inlineStr">
        <is>
          <t>River Blue</t>
        </is>
      </c>
    </row>
    <row r="1790" ht="15" customHeight="1">
      <c r="A1790" s="226" t="n">
        <v>1786</v>
      </c>
      <c r="B1790" s="227" t="inlineStr">
        <is>
          <t>Renault</t>
        </is>
      </c>
      <c r="C1790" s="228" t="inlineStr">
        <is>
          <t>Duster</t>
        </is>
      </c>
      <c r="D1790" s="229" t="inlineStr">
        <is>
          <t>Duster Iconic</t>
        </is>
      </c>
      <c r="E1790" s="230" t="inlineStr">
        <is>
          <t>Stealth Black</t>
        </is>
      </c>
    </row>
    <row r="1791" ht="15" customHeight="1">
      <c r="A1791" s="226" t="n">
        <v>1787</v>
      </c>
      <c r="B1791" s="227" t="inlineStr">
        <is>
          <t>Renault</t>
        </is>
      </c>
      <c r="C1791" s="228" t="inlineStr">
        <is>
          <t>Duster</t>
        </is>
      </c>
      <c r="D1791" s="229" t="inlineStr">
        <is>
          <t>Duster Iconic</t>
        </is>
      </c>
      <c r="E1791" s="230" t="inlineStr">
        <is>
          <t>Sunset Red</t>
        </is>
      </c>
    </row>
    <row r="1792" ht="15" customHeight="1">
      <c r="A1792" s="226" t="n">
        <v>1788</v>
      </c>
      <c r="B1792" s="227" t="inlineStr">
        <is>
          <t>Renault</t>
        </is>
      </c>
      <c r="C1792" s="228" t="inlineStr">
        <is>
          <t>Duster</t>
        </is>
      </c>
      <c r="D1792" s="229" t="inlineStr">
        <is>
          <t>Duster Techno</t>
        </is>
      </c>
      <c r="E1792" s="230" t="inlineStr">
        <is>
          <t>Moonlight Silver</t>
        </is>
      </c>
    </row>
    <row r="1793" ht="15" customHeight="1">
      <c r="A1793" s="226" t="n">
        <v>1789</v>
      </c>
      <c r="B1793" s="227" t="inlineStr">
        <is>
          <t>Renault</t>
        </is>
      </c>
      <c r="C1793" s="228" t="inlineStr">
        <is>
          <t>Duster</t>
        </is>
      </c>
      <c r="D1793" s="229" t="inlineStr">
        <is>
          <t>Duster Techno</t>
        </is>
      </c>
      <c r="E1793" s="230" t="inlineStr">
        <is>
          <t>Mountain Jade Green</t>
        </is>
      </c>
    </row>
    <row r="1794" ht="15" customHeight="1">
      <c r="A1794" s="226" t="n">
        <v>1790</v>
      </c>
      <c r="B1794" s="227" t="inlineStr">
        <is>
          <t>Renault</t>
        </is>
      </c>
      <c r="C1794" s="228" t="inlineStr">
        <is>
          <t>Duster</t>
        </is>
      </c>
      <c r="D1794" s="229" t="inlineStr">
        <is>
          <t>Duster Techno</t>
        </is>
      </c>
      <c r="E1794" s="230" t="inlineStr">
        <is>
          <t>Pearl White</t>
        </is>
      </c>
    </row>
    <row r="1795" ht="15" customHeight="1">
      <c r="A1795" s="226" t="n">
        <v>1791</v>
      </c>
      <c r="B1795" s="227" t="inlineStr">
        <is>
          <t>Renault</t>
        </is>
      </c>
      <c r="C1795" s="228" t="inlineStr">
        <is>
          <t>Duster</t>
        </is>
      </c>
      <c r="D1795" s="229" t="inlineStr">
        <is>
          <t>Duster Techno</t>
        </is>
      </c>
      <c r="E1795" s="230" t="inlineStr">
        <is>
          <t>River Blue</t>
        </is>
      </c>
    </row>
    <row r="1796" ht="15" customHeight="1">
      <c r="A1796" s="226" t="n">
        <v>1792</v>
      </c>
      <c r="B1796" s="227" t="inlineStr">
        <is>
          <t>Renault</t>
        </is>
      </c>
      <c r="C1796" s="228" t="inlineStr">
        <is>
          <t>Duster</t>
        </is>
      </c>
      <c r="D1796" s="229" t="inlineStr">
        <is>
          <t>Duster Techno</t>
        </is>
      </c>
      <c r="E1796" s="230" t="inlineStr">
        <is>
          <t>Stealth Black</t>
        </is>
      </c>
    </row>
    <row r="1797" ht="15" customHeight="1">
      <c r="A1797" s="226" t="n">
        <v>1793</v>
      </c>
      <c r="B1797" s="227" t="inlineStr">
        <is>
          <t>Renault</t>
        </is>
      </c>
      <c r="C1797" s="228" t="inlineStr">
        <is>
          <t>Duster</t>
        </is>
      </c>
      <c r="D1797" s="229" t="inlineStr">
        <is>
          <t>Duster Techno</t>
        </is>
      </c>
      <c r="E1797" s="230" t="inlineStr">
        <is>
          <t>Sunset Red</t>
        </is>
      </c>
    </row>
    <row r="1798" ht="15" customHeight="1">
      <c r="A1798" s="226" t="n">
        <v>1794</v>
      </c>
      <c r="B1798" s="227" t="inlineStr">
        <is>
          <t>Renault</t>
        </is>
      </c>
      <c r="C1798" s="228" t="inlineStr">
        <is>
          <t>Duster</t>
        </is>
      </c>
      <c r="D1798" s="229" t="inlineStr">
        <is>
          <t>Duster Techno Plus</t>
        </is>
      </c>
      <c r="E1798" s="230" t="inlineStr">
        <is>
          <t>Moonlight Silver</t>
        </is>
      </c>
    </row>
    <row r="1799" ht="15" customHeight="1">
      <c r="A1799" s="226" t="n">
        <v>1795</v>
      </c>
      <c r="B1799" s="227" t="inlineStr">
        <is>
          <t>Renault</t>
        </is>
      </c>
      <c r="C1799" s="228" t="inlineStr">
        <is>
          <t>Duster</t>
        </is>
      </c>
      <c r="D1799" s="229" t="inlineStr">
        <is>
          <t>Duster Techno Plus</t>
        </is>
      </c>
      <c r="E1799" s="230" t="inlineStr">
        <is>
          <t>Mountain Jade Green</t>
        </is>
      </c>
    </row>
    <row r="1800" ht="15" customHeight="1">
      <c r="A1800" s="226" t="n">
        <v>1796</v>
      </c>
      <c r="B1800" s="227" t="inlineStr">
        <is>
          <t>Renault</t>
        </is>
      </c>
      <c r="C1800" s="228" t="inlineStr">
        <is>
          <t>Duster</t>
        </is>
      </c>
      <c r="D1800" s="229" t="inlineStr">
        <is>
          <t>Duster Techno Plus</t>
        </is>
      </c>
      <c r="E1800" s="230" t="inlineStr">
        <is>
          <t>Pearl White</t>
        </is>
      </c>
    </row>
    <row r="1801" ht="15" customHeight="1">
      <c r="A1801" s="226" t="n">
        <v>1797</v>
      </c>
      <c r="B1801" s="227" t="inlineStr">
        <is>
          <t>Renault</t>
        </is>
      </c>
      <c r="C1801" s="228" t="inlineStr">
        <is>
          <t>Duster</t>
        </is>
      </c>
      <c r="D1801" s="229" t="inlineStr">
        <is>
          <t>Duster Techno Plus</t>
        </is>
      </c>
      <c r="E1801" s="230" t="inlineStr">
        <is>
          <t>River Blue</t>
        </is>
      </c>
    </row>
    <row r="1802" ht="15" customHeight="1">
      <c r="A1802" s="226" t="n">
        <v>1798</v>
      </c>
      <c r="B1802" s="227" t="inlineStr">
        <is>
          <t>Renault</t>
        </is>
      </c>
      <c r="C1802" s="228" t="inlineStr">
        <is>
          <t>Duster</t>
        </is>
      </c>
      <c r="D1802" s="229" t="inlineStr">
        <is>
          <t>Duster Techno Plus</t>
        </is>
      </c>
      <c r="E1802" s="230" t="inlineStr">
        <is>
          <t>Stealth Black</t>
        </is>
      </c>
    </row>
    <row r="1803" ht="15" customHeight="1">
      <c r="A1803" s="226" t="n">
        <v>1799</v>
      </c>
      <c r="B1803" s="227" t="inlineStr">
        <is>
          <t>Renault</t>
        </is>
      </c>
      <c r="C1803" s="228" t="inlineStr">
        <is>
          <t>Duster</t>
        </is>
      </c>
      <c r="D1803" s="229" t="inlineStr">
        <is>
          <t>Duster Techno Plus</t>
        </is>
      </c>
      <c r="E1803" s="230" t="inlineStr">
        <is>
          <t>Sunset Red</t>
        </is>
      </c>
    </row>
    <row r="1804" ht="15" customHeight="1">
      <c r="A1804" s="226" t="n">
        <v>1800</v>
      </c>
      <c r="B1804" s="227" t="inlineStr">
        <is>
          <t>Renault</t>
        </is>
      </c>
      <c r="C1804" s="228" t="inlineStr">
        <is>
          <t>Kiger</t>
        </is>
      </c>
      <c r="D1804" s="229" t="inlineStr">
        <is>
          <t>Kiger Authentic</t>
        </is>
      </c>
      <c r="E1804" s="230" t="inlineStr">
        <is>
          <t>Ice Cool White</t>
        </is>
      </c>
    </row>
    <row r="1805" ht="15" customHeight="1">
      <c r="A1805" s="226" t="n">
        <v>1801</v>
      </c>
      <c r="B1805" s="227" t="inlineStr">
        <is>
          <t>Renault</t>
        </is>
      </c>
      <c r="C1805" s="228" t="inlineStr">
        <is>
          <t>Kiger</t>
        </is>
      </c>
      <c r="D1805" s="229" t="inlineStr">
        <is>
          <t>Kiger Authentic</t>
        </is>
      </c>
      <c r="E1805" s="230" t="inlineStr">
        <is>
          <t>Moonlight Silver</t>
        </is>
      </c>
    </row>
    <row r="1806" ht="15" customHeight="1">
      <c r="A1806" s="226" t="n">
        <v>1802</v>
      </c>
      <c r="B1806" s="227" t="inlineStr">
        <is>
          <t>Renault</t>
        </is>
      </c>
      <c r="C1806" s="228" t="inlineStr">
        <is>
          <t>Kiger</t>
        </is>
      </c>
      <c r="D1806" s="229" t="inlineStr">
        <is>
          <t>Kiger Authentic</t>
        </is>
      </c>
      <c r="E1806" s="230" t="inlineStr">
        <is>
          <t>Stealth Black</t>
        </is>
      </c>
    </row>
    <row r="1807" ht="15" customHeight="1">
      <c r="A1807" s="226" t="n">
        <v>1803</v>
      </c>
      <c r="B1807" s="227" t="inlineStr">
        <is>
          <t>Renault</t>
        </is>
      </c>
      <c r="C1807" s="228" t="inlineStr">
        <is>
          <t>Kiger</t>
        </is>
      </c>
      <c r="D1807" s="229" t="inlineStr">
        <is>
          <t>Kiger Emotion</t>
        </is>
      </c>
      <c r="E1807" s="230" t="inlineStr">
        <is>
          <t>Ice Cool White</t>
        </is>
      </c>
    </row>
    <row r="1808" ht="15" customHeight="1">
      <c r="A1808" s="226" t="n">
        <v>1804</v>
      </c>
      <c r="B1808" s="227" t="inlineStr">
        <is>
          <t>Renault</t>
        </is>
      </c>
      <c r="C1808" s="228" t="inlineStr">
        <is>
          <t>Kiger</t>
        </is>
      </c>
      <c r="D1808" s="229" t="inlineStr">
        <is>
          <t>Kiger Emotion</t>
        </is>
      </c>
      <c r="E1808" s="230" t="inlineStr">
        <is>
          <t>Moonlight Silver</t>
        </is>
      </c>
    </row>
    <row r="1809" ht="15" customHeight="1">
      <c r="A1809" s="226" t="n">
        <v>1805</v>
      </c>
      <c r="B1809" s="227" t="inlineStr">
        <is>
          <t>Renault</t>
        </is>
      </c>
      <c r="C1809" s="228" t="inlineStr">
        <is>
          <t>Kiger</t>
        </is>
      </c>
      <c r="D1809" s="229" t="inlineStr">
        <is>
          <t>Kiger Emotion</t>
        </is>
      </c>
      <c r="E1809" s="230" t="inlineStr">
        <is>
          <t>Shadow Grey</t>
        </is>
      </c>
    </row>
    <row r="1810" ht="15" customHeight="1">
      <c r="A1810" s="226" t="n">
        <v>1806</v>
      </c>
      <c r="B1810" s="227" t="inlineStr">
        <is>
          <t>Renault</t>
        </is>
      </c>
      <c r="C1810" s="228" t="inlineStr">
        <is>
          <t>Kiger</t>
        </is>
      </c>
      <c r="D1810" s="229" t="inlineStr">
        <is>
          <t>Kiger Emotion</t>
        </is>
      </c>
      <c r="E1810" s="230" t="inlineStr">
        <is>
          <t>Stealth Black</t>
        </is>
      </c>
    </row>
    <row r="1811" ht="15" customHeight="1">
      <c r="A1811" s="226" t="n">
        <v>1807</v>
      </c>
      <c r="B1811" s="227" t="inlineStr">
        <is>
          <t>Renault</t>
        </is>
      </c>
      <c r="C1811" s="228" t="inlineStr">
        <is>
          <t>Kiger</t>
        </is>
      </c>
      <c r="D1811" s="229" t="inlineStr">
        <is>
          <t>Kiger Evolution</t>
        </is>
      </c>
      <c r="E1811" s="230" t="inlineStr">
        <is>
          <t>Ice Cool White</t>
        </is>
      </c>
    </row>
    <row r="1812" ht="15" customHeight="1">
      <c r="A1812" s="226" t="n">
        <v>1808</v>
      </c>
      <c r="B1812" s="227" t="inlineStr">
        <is>
          <t>Renault</t>
        </is>
      </c>
      <c r="C1812" s="228" t="inlineStr">
        <is>
          <t>Kiger</t>
        </is>
      </c>
      <c r="D1812" s="229" t="inlineStr">
        <is>
          <t>Kiger Evolution</t>
        </is>
      </c>
      <c r="E1812" s="230" t="inlineStr">
        <is>
          <t>Moonlight Silver</t>
        </is>
      </c>
    </row>
    <row r="1813" ht="15" customHeight="1">
      <c r="A1813" s="226" t="n">
        <v>1809</v>
      </c>
      <c r="B1813" s="227" t="inlineStr">
        <is>
          <t>Renault</t>
        </is>
      </c>
      <c r="C1813" s="228" t="inlineStr">
        <is>
          <t>Kiger</t>
        </is>
      </c>
      <c r="D1813" s="229" t="inlineStr">
        <is>
          <t>Kiger Evolution</t>
        </is>
      </c>
      <c r="E1813" s="230" t="inlineStr">
        <is>
          <t>Shadow Grey</t>
        </is>
      </c>
    </row>
    <row r="1814" ht="15" customHeight="1">
      <c r="A1814" s="226" t="n">
        <v>1810</v>
      </c>
      <c r="B1814" s="227" t="inlineStr">
        <is>
          <t>Renault</t>
        </is>
      </c>
      <c r="C1814" s="228" t="inlineStr">
        <is>
          <t>Kiger</t>
        </is>
      </c>
      <c r="D1814" s="229" t="inlineStr">
        <is>
          <t>Kiger Evolution</t>
        </is>
      </c>
      <c r="E1814" s="230" t="inlineStr">
        <is>
          <t>Stealth Black</t>
        </is>
      </c>
    </row>
    <row r="1815" ht="15" customHeight="1">
      <c r="A1815" s="226" t="n">
        <v>1811</v>
      </c>
      <c r="B1815" s="227" t="inlineStr">
        <is>
          <t>Renault</t>
        </is>
      </c>
      <c r="C1815" s="228" t="inlineStr">
        <is>
          <t>Kiger</t>
        </is>
      </c>
      <c r="D1815" s="229" t="inlineStr">
        <is>
          <t>Kiger Techno</t>
        </is>
      </c>
      <c r="E1815" s="230" t="inlineStr">
        <is>
          <t>Caspian Blue</t>
        </is>
      </c>
    </row>
    <row r="1816" ht="15" customHeight="1">
      <c r="A1816" s="226" t="n">
        <v>1812</v>
      </c>
      <c r="B1816" s="227" t="inlineStr">
        <is>
          <t>Renault</t>
        </is>
      </c>
      <c r="C1816" s="228" t="inlineStr">
        <is>
          <t>Kiger</t>
        </is>
      </c>
      <c r="D1816" s="229" t="inlineStr">
        <is>
          <t>Kiger Techno</t>
        </is>
      </c>
      <c r="E1816" s="230" t="inlineStr">
        <is>
          <t>Ice Cool White</t>
        </is>
      </c>
    </row>
    <row r="1817" ht="15" customHeight="1">
      <c r="A1817" s="226" t="n">
        <v>1813</v>
      </c>
      <c r="B1817" s="227" t="inlineStr">
        <is>
          <t>Renault</t>
        </is>
      </c>
      <c r="C1817" s="228" t="inlineStr">
        <is>
          <t>Kiger</t>
        </is>
      </c>
      <c r="D1817" s="229" t="inlineStr">
        <is>
          <t>Kiger Techno</t>
        </is>
      </c>
      <c r="E1817" s="230" t="inlineStr">
        <is>
          <t>Moonlight Silver</t>
        </is>
      </c>
    </row>
    <row r="1818" ht="15" customHeight="1">
      <c r="A1818" s="226" t="n">
        <v>1814</v>
      </c>
      <c r="B1818" s="227" t="inlineStr">
        <is>
          <t>Renault</t>
        </is>
      </c>
      <c r="C1818" s="228" t="inlineStr">
        <is>
          <t>Kiger</t>
        </is>
      </c>
      <c r="D1818" s="229" t="inlineStr">
        <is>
          <t>Kiger Techno</t>
        </is>
      </c>
      <c r="E1818" s="230" t="inlineStr">
        <is>
          <t>Oasis Yellow</t>
        </is>
      </c>
    </row>
    <row r="1819" ht="15" customHeight="1">
      <c r="A1819" s="226" t="n">
        <v>1815</v>
      </c>
      <c r="B1819" s="227" t="inlineStr">
        <is>
          <t>Renault</t>
        </is>
      </c>
      <c r="C1819" s="228" t="inlineStr">
        <is>
          <t>Kiger</t>
        </is>
      </c>
      <c r="D1819" s="229" t="inlineStr">
        <is>
          <t>Kiger Techno</t>
        </is>
      </c>
      <c r="E1819" s="230" t="inlineStr">
        <is>
          <t>Shadow Grey</t>
        </is>
      </c>
    </row>
    <row r="1820" ht="15" customHeight="1">
      <c r="A1820" s="226" t="n">
        <v>1816</v>
      </c>
      <c r="B1820" s="227" t="inlineStr">
        <is>
          <t>Renault</t>
        </is>
      </c>
      <c r="C1820" s="228" t="inlineStr">
        <is>
          <t>Kiger</t>
        </is>
      </c>
      <c r="D1820" s="229" t="inlineStr">
        <is>
          <t>Kiger Techno</t>
        </is>
      </c>
      <c r="E1820" s="230" t="inlineStr">
        <is>
          <t>Stealth Black</t>
        </is>
      </c>
    </row>
    <row r="1821" ht="15" customHeight="1">
      <c r="A1821" s="226" t="n">
        <v>1817</v>
      </c>
      <c r="B1821" s="227" t="inlineStr">
        <is>
          <t>Renault</t>
        </is>
      </c>
      <c r="C1821" s="228" t="inlineStr">
        <is>
          <t>Kwid</t>
        </is>
      </c>
      <c r="D1821" s="229" t="inlineStr">
        <is>
          <t>Kwid Authentic</t>
        </is>
      </c>
      <c r="E1821" s="230" t="inlineStr">
        <is>
          <t>Ice Cool White</t>
        </is>
      </c>
    </row>
    <row r="1822" ht="15" customHeight="1">
      <c r="A1822" s="226" t="n">
        <v>1818</v>
      </c>
      <c r="B1822" s="227" t="inlineStr">
        <is>
          <t>Renault</t>
        </is>
      </c>
      <c r="C1822" s="228" t="inlineStr">
        <is>
          <t>Kwid</t>
        </is>
      </c>
      <c r="D1822" s="229" t="inlineStr">
        <is>
          <t>Kwid Authentic</t>
        </is>
      </c>
      <c r="E1822" s="230" t="inlineStr">
        <is>
          <t>Moonlight Silver</t>
        </is>
      </c>
    </row>
    <row r="1823" ht="15" customHeight="1">
      <c r="A1823" s="226" t="n">
        <v>1819</v>
      </c>
      <c r="B1823" s="227" t="inlineStr">
        <is>
          <t>Renault</t>
        </is>
      </c>
      <c r="C1823" s="228" t="inlineStr">
        <is>
          <t>Kwid</t>
        </is>
      </c>
      <c r="D1823" s="229" t="inlineStr">
        <is>
          <t>Kwid CLIMBER</t>
        </is>
      </c>
      <c r="E1823" s="230" t="inlineStr">
        <is>
          <t>Moonlight Silver</t>
        </is>
      </c>
    </row>
    <row r="1824" ht="15" customHeight="1">
      <c r="A1824" s="226" t="n">
        <v>1820</v>
      </c>
      <c r="B1824" s="227" t="inlineStr">
        <is>
          <t>Renault</t>
        </is>
      </c>
      <c r="C1824" s="228" t="inlineStr">
        <is>
          <t>Kwid</t>
        </is>
      </c>
      <c r="D1824" s="229" t="inlineStr">
        <is>
          <t>Kwid CLIMBER</t>
        </is>
      </c>
      <c r="E1824" s="230" t="inlineStr">
        <is>
          <t>Zanskar Blue</t>
        </is>
      </c>
    </row>
    <row r="1825" ht="15" customHeight="1">
      <c r="A1825" s="226" t="n">
        <v>1821</v>
      </c>
      <c r="B1825" s="227" t="inlineStr">
        <is>
          <t>Renault</t>
        </is>
      </c>
      <c r="C1825" s="228" t="inlineStr">
        <is>
          <t>Kwid</t>
        </is>
      </c>
      <c r="D1825" s="229" t="inlineStr">
        <is>
          <t>Kwid Evolution</t>
        </is>
      </c>
      <c r="E1825" s="230" t="inlineStr">
        <is>
          <t>Fiery Red</t>
        </is>
      </c>
    </row>
    <row r="1826" ht="15" customHeight="1">
      <c r="A1826" s="226" t="n">
        <v>1822</v>
      </c>
      <c r="B1826" s="227" t="inlineStr">
        <is>
          <t>Renault</t>
        </is>
      </c>
      <c r="C1826" s="228" t="inlineStr">
        <is>
          <t>Kwid</t>
        </is>
      </c>
      <c r="D1826" s="229" t="inlineStr">
        <is>
          <t>Kwid Evolution</t>
        </is>
      </c>
      <c r="E1826" s="230" t="inlineStr">
        <is>
          <t>Ice Cool White</t>
        </is>
      </c>
    </row>
    <row r="1827" ht="15" customHeight="1">
      <c r="A1827" s="226" t="n">
        <v>1823</v>
      </c>
      <c r="B1827" s="227" t="inlineStr">
        <is>
          <t>Renault</t>
        </is>
      </c>
      <c r="C1827" s="228" t="inlineStr">
        <is>
          <t>Kwid</t>
        </is>
      </c>
      <c r="D1827" s="229" t="inlineStr">
        <is>
          <t>Kwid Evolution</t>
        </is>
      </c>
      <c r="E1827" s="230" t="inlineStr">
        <is>
          <t>Moonlight Silver</t>
        </is>
      </c>
    </row>
    <row r="1828" ht="15" customHeight="1">
      <c r="A1828" s="226" t="n">
        <v>1824</v>
      </c>
      <c r="B1828" s="227" t="inlineStr">
        <is>
          <t>Renault</t>
        </is>
      </c>
      <c r="C1828" s="228" t="inlineStr">
        <is>
          <t>Kwid</t>
        </is>
      </c>
      <c r="D1828" s="229" t="inlineStr">
        <is>
          <t>Kwid Evolution</t>
        </is>
      </c>
      <c r="E1828" s="230" t="inlineStr">
        <is>
          <t>Outback Bronze</t>
        </is>
      </c>
    </row>
    <row r="1829" ht="15" customHeight="1">
      <c r="A1829" s="226" t="n">
        <v>1825</v>
      </c>
      <c r="B1829" s="227" t="inlineStr">
        <is>
          <t>Renault</t>
        </is>
      </c>
      <c r="C1829" s="228" t="inlineStr">
        <is>
          <t>Kwid</t>
        </is>
      </c>
      <c r="D1829" s="229" t="inlineStr">
        <is>
          <t>Kwid Evolution</t>
        </is>
      </c>
      <c r="E1829" s="230" t="inlineStr">
        <is>
          <t>Zanskar Blue</t>
        </is>
      </c>
    </row>
    <row r="1830" ht="15" customHeight="1">
      <c r="A1830" s="226" t="n">
        <v>1826</v>
      </c>
      <c r="B1830" s="227" t="inlineStr">
        <is>
          <t>Renault</t>
        </is>
      </c>
      <c r="C1830" s="228" t="inlineStr">
        <is>
          <t>Kwid</t>
        </is>
      </c>
      <c r="D1830" s="229" t="inlineStr">
        <is>
          <t>Kwid Techno</t>
        </is>
      </c>
      <c r="E1830" s="230" t="inlineStr">
        <is>
          <t>Fiery Red</t>
        </is>
      </c>
    </row>
    <row r="1831" ht="15" customHeight="1">
      <c r="A1831" s="226" t="n">
        <v>1827</v>
      </c>
      <c r="B1831" s="227" t="inlineStr">
        <is>
          <t>Renault</t>
        </is>
      </c>
      <c r="C1831" s="228" t="inlineStr">
        <is>
          <t>Kwid</t>
        </is>
      </c>
      <c r="D1831" s="229" t="inlineStr">
        <is>
          <t>Kwid Techno</t>
        </is>
      </c>
      <c r="E1831" s="230" t="inlineStr">
        <is>
          <t>Ice Cool White</t>
        </is>
      </c>
    </row>
    <row r="1832" ht="15" customHeight="1">
      <c r="A1832" s="226" t="n">
        <v>1828</v>
      </c>
      <c r="B1832" s="227" t="inlineStr">
        <is>
          <t>Renault</t>
        </is>
      </c>
      <c r="C1832" s="228" t="inlineStr">
        <is>
          <t>Kwid</t>
        </is>
      </c>
      <c r="D1832" s="229" t="inlineStr">
        <is>
          <t>Kwid Techno</t>
        </is>
      </c>
      <c r="E1832" s="230" t="inlineStr">
        <is>
          <t>Moonlight Silver</t>
        </is>
      </c>
    </row>
    <row r="1833" ht="15" customHeight="1">
      <c r="A1833" s="226" t="n">
        <v>1829</v>
      </c>
      <c r="B1833" s="227" t="inlineStr">
        <is>
          <t>Renault</t>
        </is>
      </c>
      <c r="C1833" s="228" t="inlineStr">
        <is>
          <t>Kwid</t>
        </is>
      </c>
      <c r="D1833" s="229" t="inlineStr">
        <is>
          <t>Kwid Techno</t>
        </is>
      </c>
      <c r="E1833" s="230" t="inlineStr">
        <is>
          <t>Outback Bronze</t>
        </is>
      </c>
    </row>
    <row r="1834" ht="15" customHeight="1">
      <c r="A1834" s="226" t="n">
        <v>1830</v>
      </c>
      <c r="B1834" s="227" t="inlineStr">
        <is>
          <t>Renault</t>
        </is>
      </c>
      <c r="C1834" s="228" t="inlineStr">
        <is>
          <t>Kwid</t>
        </is>
      </c>
      <c r="D1834" s="229" t="inlineStr">
        <is>
          <t>Kwid Techno</t>
        </is>
      </c>
      <c r="E1834" s="230" t="inlineStr">
        <is>
          <t>Zanskar Blue</t>
        </is>
      </c>
    </row>
    <row r="1835" ht="15" customHeight="1">
      <c r="A1835" s="226" t="n">
        <v>1831</v>
      </c>
      <c r="B1835" s="227" t="inlineStr">
        <is>
          <t>Renault</t>
        </is>
      </c>
      <c r="C1835" s="228" t="inlineStr">
        <is>
          <t>Lodgy</t>
        </is>
      </c>
      <c r="D1835" s="229" t="inlineStr">
        <is>
          <t>Lodgy RXL Stepway</t>
        </is>
      </c>
      <c r="E1835" s="230" t="inlineStr">
        <is>
          <t>Fiery Red</t>
        </is>
      </c>
    </row>
    <row r="1836" ht="15" customHeight="1">
      <c r="A1836" s="226" t="n">
        <v>1832</v>
      </c>
      <c r="B1836" s="227" t="inlineStr">
        <is>
          <t>Renault</t>
        </is>
      </c>
      <c r="C1836" s="228" t="inlineStr">
        <is>
          <t>Lodgy</t>
        </is>
      </c>
      <c r="D1836" s="229" t="inlineStr">
        <is>
          <t>Lodgy RXL Stepway</t>
        </is>
      </c>
      <c r="E1836" s="230" t="inlineStr">
        <is>
          <t>Moonlight Silver</t>
        </is>
      </c>
    </row>
    <row r="1837" ht="15" customHeight="1">
      <c r="A1837" s="226" t="n">
        <v>1833</v>
      </c>
      <c r="B1837" s="227" t="inlineStr">
        <is>
          <t>Renault</t>
        </is>
      </c>
      <c r="C1837" s="228" t="inlineStr">
        <is>
          <t>Lodgy</t>
        </is>
      </c>
      <c r="D1837" s="229" t="inlineStr">
        <is>
          <t>Lodgy RXL Stepway</t>
        </is>
      </c>
      <c r="E1837" s="230" t="inlineStr">
        <is>
          <t>Pearl White</t>
        </is>
      </c>
    </row>
    <row r="1838" ht="15" customHeight="1">
      <c r="A1838" s="226" t="n">
        <v>1834</v>
      </c>
      <c r="B1838" s="227" t="inlineStr">
        <is>
          <t>Renault</t>
        </is>
      </c>
      <c r="C1838" s="228" t="inlineStr">
        <is>
          <t>Lodgy</t>
        </is>
      </c>
      <c r="D1838" s="229" t="inlineStr">
        <is>
          <t>Lodgy RXL Stepway</t>
        </is>
      </c>
      <c r="E1838" s="230" t="inlineStr">
        <is>
          <t>Royal Orchid</t>
        </is>
      </c>
    </row>
    <row r="1839" ht="15" customHeight="1">
      <c r="A1839" s="226" t="n">
        <v>1835</v>
      </c>
      <c r="B1839" s="227" t="inlineStr">
        <is>
          <t>Renault</t>
        </is>
      </c>
      <c r="C1839" s="228" t="inlineStr">
        <is>
          <t>Lodgy</t>
        </is>
      </c>
      <c r="D1839" s="229" t="inlineStr">
        <is>
          <t>Lodgy RXL Stepway</t>
        </is>
      </c>
      <c r="E1839" s="230" t="inlineStr">
        <is>
          <t>Slate Grey</t>
        </is>
      </c>
    </row>
    <row r="1840" ht="15" customHeight="1">
      <c r="A1840" s="226" t="n">
        <v>1836</v>
      </c>
      <c r="B1840" s="227" t="inlineStr">
        <is>
          <t>Renault</t>
        </is>
      </c>
      <c r="C1840" s="228" t="inlineStr">
        <is>
          <t>Lodgy</t>
        </is>
      </c>
      <c r="D1840" s="229" t="inlineStr">
        <is>
          <t>Lodgy RxE</t>
        </is>
      </c>
      <c r="E1840" s="230" t="inlineStr">
        <is>
          <t>Fiery Red</t>
        </is>
      </c>
    </row>
    <row r="1841" ht="15" customHeight="1">
      <c r="A1841" s="226" t="n">
        <v>1837</v>
      </c>
      <c r="B1841" s="227" t="inlineStr">
        <is>
          <t>Renault</t>
        </is>
      </c>
      <c r="C1841" s="228" t="inlineStr">
        <is>
          <t>Lodgy</t>
        </is>
      </c>
      <c r="D1841" s="229" t="inlineStr">
        <is>
          <t>Lodgy RxE</t>
        </is>
      </c>
      <c r="E1841" s="230" t="inlineStr">
        <is>
          <t>Moonlight Silver</t>
        </is>
      </c>
    </row>
    <row r="1842" ht="15" customHeight="1">
      <c r="A1842" s="226" t="n">
        <v>1838</v>
      </c>
      <c r="B1842" s="227" t="inlineStr">
        <is>
          <t>Renault</t>
        </is>
      </c>
      <c r="C1842" s="228" t="inlineStr">
        <is>
          <t>Lodgy</t>
        </is>
      </c>
      <c r="D1842" s="229" t="inlineStr">
        <is>
          <t>Lodgy RxE</t>
        </is>
      </c>
      <c r="E1842" s="230" t="inlineStr">
        <is>
          <t>Pearl White</t>
        </is>
      </c>
    </row>
    <row r="1843" ht="15" customHeight="1">
      <c r="A1843" s="226" t="n">
        <v>1839</v>
      </c>
      <c r="B1843" s="227" t="inlineStr">
        <is>
          <t>Renault</t>
        </is>
      </c>
      <c r="C1843" s="228" t="inlineStr">
        <is>
          <t>Lodgy</t>
        </is>
      </c>
      <c r="D1843" s="229" t="inlineStr">
        <is>
          <t>Lodgy RxE</t>
        </is>
      </c>
      <c r="E1843" s="230" t="inlineStr">
        <is>
          <t>Royal Orchid</t>
        </is>
      </c>
    </row>
    <row r="1844" ht="15" customHeight="1">
      <c r="A1844" s="226" t="n">
        <v>1840</v>
      </c>
      <c r="B1844" s="227" t="inlineStr">
        <is>
          <t>Renault</t>
        </is>
      </c>
      <c r="C1844" s="228" t="inlineStr">
        <is>
          <t>Lodgy</t>
        </is>
      </c>
      <c r="D1844" s="229" t="inlineStr">
        <is>
          <t>Lodgy RxE</t>
        </is>
      </c>
      <c r="E1844" s="230" t="inlineStr">
        <is>
          <t>Slate Grey</t>
        </is>
      </c>
    </row>
    <row r="1845" ht="15" customHeight="1">
      <c r="A1845" s="226" t="n">
        <v>1841</v>
      </c>
      <c r="B1845" s="227" t="inlineStr">
        <is>
          <t>Renault</t>
        </is>
      </c>
      <c r="C1845" s="228" t="inlineStr">
        <is>
          <t>Lodgy</t>
        </is>
      </c>
      <c r="D1845" s="229" t="inlineStr">
        <is>
          <t>Lodgy RxL</t>
        </is>
      </c>
      <c r="E1845" s="230" t="inlineStr">
        <is>
          <t>Moonlight Silver</t>
        </is>
      </c>
    </row>
    <row r="1846" ht="15" customHeight="1">
      <c r="A1846" s="226" t="n">
        <v>1842</v>
      </c>
      <c r="B1846" s="227" t="inlineStr">
        <is>
          <t>Renault</t>
        </is>
      </c>
      <c r="C1846" s="228" t="inlineStr">
        <is>
          <t>Lodgy</t>
        </is>
      </c>
      <c r="D1846" s="229" t="inlineStr">
        <is>
          <t>Lodgy RxL</t>
        </is>
      </c>
      <c r="E1846" s="230" t="inlineStr">
        <is>
          <t>Pearl White</t>
        </is>
      </c>
    </row>
    <row r="1847" ht="15" customHeight="1">
      <c r="A1847" s="226" t="n">
        <v>1843</v>
      </c>
      <c r="B1847" s="227" t="inlineStr">
        <is>
          <t>Renault</t>
        </is>
      </c>
      <c r="C1847" s="228" t="inlineStr">
        <is>
          <t>Lodgy</t>
        </is>
      </c>
      <c r="D1847" s="229" t="inlineStr">
        <is>
          <t>Lodgy RxL</t>
        </is>
      </c>
      <c r="E1847" s="230" t="inlineStr">
        <is>
          <t>Royal Orchid</t>
        </is>
      </c>
    </row>
    <row r="1848" ht="15" customHeight="1">
      <c r="A1848" s="226" t="n">
        <v>1844</v>
      </c>
      <c r="B1848" s="227" t="inlineStr">
        <is>
          <t>Renault</t>
        </is>
      </c>
      <c r="C1848" s="228" t="inlineStr">
        <is>
          <t>Lodgy</t>
        </is>
      </c>
      <c r="D1848" s="229" t="inlineStr">
        <is>
          <t>Lodgy STD</t>
        </is>
      </c>
      <c r="E1848" s="230" t="inlineStr">
        <is>
          <t>Lodgy RXL Stepway</t>
        </is>
      </c>
    </row>
    <row r="1849" ht="15" customHeight="1">
      <c r="A1849" s="226" t="n">
        <v>1845</v>
      </c>
      <c r="B1849" s="227" t="inlineStr">
        <is>
          <t>Renault</t>
        </is>
      </c>
      <c r="C1849" s="228" t="inlineStr">
        <is>
          <t>Lodgy</t>
        </is>
      </c>
      <c r="D1849" s="229" t="inlineStr">
        <is>
          <t>Lodgy STD</t>
        </is>
      </c>
      <c r="E1849" s="230" t="inlineStr">
        <is>
          <t>Moonlight Silver</t>
        </is>
      </c>
    </row>
    <row r="1850" ht="15" customHeight="1">
      <c r="A1850" s="226" t="n">
        <v>1846</v>
      </c>
      <c r="B1850" s="227" t="inlineStr">
        <is>
          <t>Renault</t>
        </is>
      </c>
      <c r="C1850" s="228" t="inlineStr">
        <is>
          <t>Lodgy</t>
        </is>
      </c>
      <c r="D1850" s="229" t="inlineStr">
        <is>
          <t>Lodgy STD</t>
        </is>
      </c>
      <c r="E1850" s="230" t="inlineStr">
        <is>
          <t>Pearl White</t>
        </is>
      </c>
    </row>
    <row r="1851" ht="15" customHeight="1">
      <c r="A1851" s="226" t="n">
        <v>1847</v>
      </c>
      <c r="B1851" s="227" t="inlineStr">
        <is>
          <t>Renault</t>
        </is>
      </c>
      <c r="C1851" s="228" t="inlineStr">
        <is>
          <t>Lodgy</t>
        </is>
      </c>
      <c r="D1851" s="229" t="inlineStr">
        <is>
          <t>Lodgy World</t>
        </is>
      </c>
      <c r="E1851" s="230" t="inlineStr">
        <is>
          <t>Moonlight Silver</t>
        </is>
      </c>
    </row>
    <row r="1852" ht="15" customHeight="1">
      <c r="A1852" s="226" t="n">
        <v>1848</v>
      </c>
      <c r="B1852" s="227" t="inlineStr">
        <is>
          <t>Renault</t>
        </is>
      </c>
      <c r="C1852" s="228" t="inlineStr">
        <is>
          <t>Lodgy</t>
        </is>
      </c>
      <c r="D1852" s="229" t="inlineStr">
        <is>
          <t>Lodgy World</t>
        </is>
      </c>
      <c r="E1852" s="230" t="inlineStr">
        <is>
          <t>Pearl White</t>
        </is>
      </c>
    </row>
    <row r="1853" ht="15" customHeight="1">
      <c r="A1853" s="226" t="n">
        <v>1849</v>
      </c>
      <c r="B1853" s="227" t="inlineStr">
        <is>
          <t>Renault</t>
        </is>
      </c>
      <c r="C1853" s="228" t="inlineStr">
        <is>
          <t>Lodgy</t>
        </is>
      </c>
      <c r="D1853" s="229" t="inlineStr">
        <is>
          <t>Lodgy World</t>
        </is>
      </c>
      <c r="E1853" s="230" t="inlineStr">
        <is>
          <t>Royal Orchid</t>
        </is>
      </c>
    </row>
    <row r="1854" ht="15" customHeight="1">
      <c r="A1854" s="226" t="n">
        <v>1850</v>
      </c>
      <c r="B1854" s="227" t="inlineStr">
        <is>
          <t>Renault</t>
        </is>
      </c>
      <c r="C1854" s="228" t="inlineStr">
        <is>
          <t>Triber</t>
        </is>
      </c>
      <c r="D1854" s="229" t="inlineStr">
        <is>
          <t>Triber Authentic</t>
        </is>
      </c>
      <c r="E1854" s="230" t="inlineStr">
        <is>
          <t>Ice Cool White</t>
        </is>
      </c>
    </row>
    <row r="1855" ht="15" customHeight="1">
      <c r="A1855" s="226" t="n">
        <v>1851</v>
      </c>
      <c r="B1855" s="227" t="inlineStr">
        <is>
          <t>Renault</t>
        </is>
      </c>
      <c r="C1855" s="228" t="inlineStr">
        <is>
          <t>Triber</t>
        </is>
      </c>
      <c r="D1855" s="229" t="inlineStr">
        <is>
          <t>Triber Authentic</t>
        </is>
      </c>
      <c r="E1855" s="230" t="inlineStr">
        <is>
          <t>Moonlight Silver</t>
        </is>
      </c>
    </row>
    <row r="1856" ht="15" customHeight="1">
      <c r="A1856" s="226" t="n">
        <v>1852</v>
      </c>
      <c r="B1856" s="227" t="inlineStr">
        <is>
          <t>Renault</t>
        </is>
      </c>
      <c r="C1856" s="228" t="inlineStr">
        <is>
          <t>Triber</t>
        </is>
      </c>
      <c r="D1856" s="229" t="inlineStr">
        <is>
          <t>Triber Authentic</t>
        </is>
      </c>
      <c r="E1856" s="230" t="inlineStr">
        <is>
          <t>Stealth Black</t>
        </is>
      </c>
    </row>
    <row r="1857" ht="15" customHeight="1">
      <c r="A1857" s="226" t="n">
        <v>1853</v>
      </c>
      <c r="B1857" s="227" t="inlineStr">
        <is>
          <t>Renault</t>
        </is>
      </c>
      <c r="C1857" s="228" t="inlineStr">
        <is>
          <t>Triber</t>
        </is>
      </c>
      <c r="D1857" s="229" t="inlineStr">
        <is>
          <t>Triber Emotion</t>
        </is>
      </c>
      <c r="E1857" s="230" t="inlineStr">
        <is>
          <t>Amber Terracotta</t>
        </is>
      </c>
    </row>
    <row r="1858" ht="15" customHeight="1">
      <c r="A1858" s="226" t="n">
        <v>1854</v>
      </c>
      <c r="B1858" s="227" t="inlineStr">
        <is>
          <t>Renault</t>
        </is>
      </c>
      <c r="C1858" s="228" t="inlineStr">
        <is>
          <t>Triber</t>
        </is>
      </c>
      <c r="D1858" s="229" t="inlineStr">
        <is>
          <t>Triber Emotion</t>
        </is>
      </c>
      <c r="E1858" s="230" t="inlineStr">
        <is>
          <t>Ice Cool White</t>
        </is>
      </c>
    </row>
    <row r="1859" ht="15" customHeight="1">
      <c r="A1859" s="226" t="n">
        <v>1855</v>
      </c>
      <c r="B1859" s="227" t="inlineStr">
        <is>
          <t>Renault</t>
        </is>
      </c>
      <c r="C1859" s="228" t="inlineStr">
        <is>
          <t>Triber</t>
        </is>
      </c>
      <c r="D1859" s="229" t="inlineStr">
        <is>
          <t>Triber Emotion</t>
        </is>
      </c>
      <c r="E1859" s="230" t="inlineStr">
        <is>
          <t>Moonlight Silver</t>
        </is>
      </c>
    </row>
    <row r="1860" ht="15" customHeight="1">
      <c r="A1860" s="226" t="n">
        <v>1856</v>
      </c>
      <c r="B1860" s="227" t="inlineStr">
        <is>
          <t>Renault</t>
        </is>
      </c>
      <c r="C1860" s="228" t="inlineStr">
        <is>
          <t>Triber</t>
        </is>
      </c>
      <c r="D1860" s="229" t="inlineStr">
        <is>
          <t>Triber Emotion</t>
        </is>
      </c>
      <c r="E1860" s="230" t="inlineStr">
        <is>
          <t>Shadow Grey</t>
        </is>
      </c>
    </row>
    <row r="1861" ht="15" customHeight="1">
      <c r="A1861" s="226" t="n">
        <v>1857</v>
      </c>
      <c r="B1861" s="227" t="inlineStr">
        <is>
          <t>Renault</t>
        </is>
      </c>
      <c r="C1861" s="228" t="inlineStr">
        <is>
          <t>Triber</t>
        </is>
      </c>
      <c r="D1861" s="229" t="inlineStr">
        <is>
          <t>Triber Emotion</t>
        </is>
      </c>
      <c r="E1861" s="230" t="inlineStr">
        <is>
          <t>Stealth Black</t>
        </is>
      </c>
    </row>
    <row r="1862" ht="15" customHeight="1">
      <c r="A1862" s="226" t="n">
        <v>1858</v>
      </c>
      <c r="B1862" s="227" t="inlineStr">
        <is>
          <t>Renault</t>
        </is>
      </c>
      <c r="C1862" s="228" t="inlineStr">
        <is>
          <t>Triber</t>
        </is>
      </c>
      <c r="D1862" s="229" t="inlineStr">
        <is>
          <t>Triber Emotion</t>
        </is>
      </c>
      <c r="E1862" s="230" t="inlineStr">
        <is>
          <t>Zanskar Blue</t>
        </is>
      </c>
    </row>
    <row r="1863" ht="15" customHeight="1">
      <c r="A1863" s="226" t="n">
        <v>1859</v>
      </c>
      <c r="B1863" s="227" t="inlineStr">
        <is>
          <t>Renault</t>
        </is>
      </c>
      <c r="C1863" s="228" t="inlineStr">
        <is>
          <t>Triber</t>
        </is>
      </c>
      <c r="D1863" s="229" t="inlineStr">
        <is>
          <t>Triber Evolution</t>
        </is>
      </c>
      <c r="E1863" s="230" t="inlineStr">
        <is>
          <t>Ice Cool White</t>
        </is>
      </c>
    </row>
    <row r="1864" ht="15" customHeight="1">
      <c r="A1864" s="226" t="n">
        <v>1860</v>
      </c>
      <c r="B1864" s="227" t="inlineStr">
        <is>
          <t>Renault</t>
        </is>
      </c>
      <c r="C1864" s="228" t="inlineStr">
        <is>
          <t>Triber</t>
        </is>
      </c>
      <c r="D1864" s="229" t="inlineStr">
        <is>
          <t>Triber Evolution</t>
        </is>
      </c>
      <c r="E1864" s="230" t="inlineStr">
        <is>
          <t>Moonlight Silver</t>
        </is>
      </c>
    </row>
    <row r="1865" ht="15" customHeight="1">
      <c r="A1865" s="226" t="n">
        <v>1861</v>
      </c>
      <c r="B1865" s="227" t="inlineStr">
        <is>
          <t>Renault</t>
        </is>
      </c>
      <c r="C1865" s="228" t="inlineStr">
        <is>
          <t>Triber</t>
        </is>
      </c>
      <c r="D1865" s="229" t="inlineStr">
        <is>
          <t>Triber Evolution</t>
        </is>
      </c>
      <c r="E1865" s="230" t="inlineStr">
        <is>
          <t>Shadow Grey</t>
        </is>
      </c>
    </row>
    <row r="1866" ht="15" customHeight="1">
      <c r="A1866" s="226" t="n">
        <v>1862</v>
      </c>
      <c r="B1866" s="227" t="inlineStr">
        <is>
          <t>Renault</t>
        </is>
      </c>
      <c r="C1866" s="228" t="inlineStr">
        <is>
          <t>Triber</t>
        </is>
      </c>
      <c r="D1866" s="229" t="inlineStr">
        <is>
          <t>Triber Evolution</t>
        </is>
      </c>
      <c r="E1866" s="230" t="inlineStr">
        <is>
          <t>Stealth Black</t>
        </is>
      </c>
    </row>
    <row r="1867" ht="15" customHeight="1">
      <c r="A1867" s="226" t="n">
        <v>1863</v>
      </c>
      <c r="B1867" s="227" t="inlineStr">
        <is>
          <t>Renault</t>
        </is>
      </c>
      <c r="C1867" s="228" t="inlineStr">
        <is>
          <t>Triber</t>
        </is>
      </c>
      <c r="D1867" s="229" t="inlineStr">
        <is>
          <t>Triber Evolution</t>
        </is>
      </c>
      <c r="E1867" s="230" t="inlineStr">
        <is>
          <t>Zanskar Blue</t>
        </is>
      </c>
    </row>
    <row r="1868" ht="15" customHeight="1">
      <c r="A1868" s="226" t="n">
        <v>1864</v>
      </c>
      <c r="B1868" s="227" t="inlineStr">
        <is>
          <t>Renault</t>
        </is>
      </c>
      <c r="C1868" s="228" t="inlineStr">
        <is>
          <t>Triber</t>
        </is>
      </c>
      <c r="D1868" s="229" t="inlineStr">
        <is>
          <t>Triber Techno</t>
        </is>
      </c>
      <c r="E1868" s="230" t="inlineStr">
        <is>
          <t>Amber Terracotta</t>
        </is>
      </c>
    </row>
    <row r="1869" ht="15" customHeight="1">
      <c r="A1869" s="226" t="n">
        <v>1865</v>
      </c>
      <c r="B1869" s="227" t="inlineStr">
        <is>
          <t>Renault</t>
        </is>
      </c>
      <c r="C1869" s="228" t="inlineStr">
        <is>
          <t>Triber</t>
        </is>
      </c>
      <c r="D1869" s="229" t="inlineStr">
        <is>
          <t>Triber Techno</t>
        </is>
      </c>
      <c r="E1869" s="230" t="inlineStr">
        <is>
          <t>Ice Cool White</t>
        </is>
      </c>
    </row>
    <row r="1870" ht="15" customHeight="1">
      <c r="A1870" s="226" t="n">
        <v>1866</v>
      </c>
      <c r="B1870" s="227" t="inlineStr">
        <is>
          <t>Renault</t>
        </is>
      </c>
      <c r="C1870" s="228" t="inlineStr">
        <is>
          <t>Triber</t>
        </is>
      </c>
      <c r="D1870" s="229" t="inlineStr">
        <is>
          <t>Triber Techno</t>
        </is>
      </c>
      <c r="E1870" s="230" t="inlineStr">
        <is>
          <t>Moonlight Silver</t>
        </is>
      </c>
    </row>
    <row r="1871" ht="15" customHeight="1">
      <c r="A1871" s="226" t="n">
        <v>1867</v>
      </c>
      <c r="B1871" s="227" t="inlineStr">
        <is>
          <t>Renault</t>
        </is>
      </c>
      <c r="C1871" s="228" t="inlineStr">
        <is>
          <t>Triber</t>
        </is>
      </c>
      <c r="D1871" s="229" t="inlineStr">
        <is>
          <t>Triber Techno</t>
        </is>
      </c>
      <c r="E1871" s="230" t="inlineStr">
        <is>
          <t>Shadow Grey</t>
        </is>
      </c>
    </row>
    <row r="1872" ht="15" customHeight="1">
      <c r="A1872" s="226" t="n">
        <v>1868</v>
      </c>
      <c r="B1872" s="227" t="inlineStr">
        <is>
          <t>Renault</t>
        </is>
      </c>
      <c r="C1872" s="228" t="inlineStr">
        <is>
          <t>Triber</t>
        </is>
      </c>
      <c r="D1872" s="229" t="inlineStr">
        <is>
          <t>Triber Techno</t>
        </is>
      </c>
      <c r="E1872" s="230" t="inlineStr">
        <is>
          <t>Stealth Black</t>
        </is>
      </c>
    </row>
    <row r="1873" ht="15" customHeight="1">
      <c r="A1873" s="226" t="n">
        <v>1869</v>
      </c>
      <c r="B1873" s="227" t="inlineStr">
        <is>
          <t>Renault</t>
        </is>
      </c>
      <c r="C1873" s="228" t="inlineStr">
        <is>
          <t>Triber</t>
        </is>
      </c>
      <c r="D1873" s="229" t="inlineStr">
        <is>
          <t>Triber Techno</t>
        </is>
      </c>
      <c r="E1873" s="230" t="inlineStr">
        <is>
          <t>Zanskar Blue</t>
        </is>
      </c>
    </row>
    <row r="1874" ht="15" customHeight="1">
      <c r="A1874" s="196" t="n">
        <v>1870</v>
      </c>
      <c r="B1874" s="197" t="inlineStr">
        <is>
          <t>Skoda</t>
        </is>
      </c>
      <c r="C1874" s="198" t="inlineStr">
        <is>
          <t>Kodiaq</t>
        </is>
      </c>
      <c r="D1874" s="199" t="inlineStr">
        <is>
          <t>Kodiaq L&amp;K</t>
        </is>
      </c>
      <c r="E1874" s="200" t="inlineStr">
        <is>
          <t>Bronx Gold Metallic</t>
        </is>
      </c>
    </row>
    <row r="1875" ht="15" customHeight="1">
      <c r="A1875" s="196" t="n">
        <v>1871</v>
      </c>
      <c r="B1875" s="197" t="inlineStr">
        <is>
          <t>Skoda</t>
        </is>
      </c>
      <c r="C1875" s="198" t="inlineStr">
        <is>
          <t>Kodiaq</t>
        </is>
      </c>
      <c r="D1875" s="199" t="inlineStr">
        <is>
          <t>Kodiaq L&amp;K</t>
        </is>
      </c>
      <c r="E1875" s="200" t="inlineStr">
        <is>
          <t>Graphite Grey Metallic</t>
        </is>
      </c>
    </row>
    <row r="1876" ht="15" customHeight="1">
      <c r="A1876" s="196" t="n">
        <v>1872</v>
      </c>
      <c r="B1876" s="197" t="inlineStr">
        <is>
          <t>Skoda</t>
        </is>
      </c>
      <c r="C1876" s="198" t="inlineStr">
        <is>
          <t>Kodiaq</t>
        </is>
      </c>
      <c r="D1876" s="199" t="inlineStr">
        <is>
          <t>Kodiaq L&amp;K</t>
        </is>
      </c>
      <c r="E1876" s="200" t="inlineStr">
        <is>
          <t>Magic Black Metallic</t>
        </is>
      </c>
    </row>
    <row r="1877" ht="15" customHeight="1">
      <c r="A1877" s="196" t="n">
        <v>1873</v>
      </c>
      <c r="B1877" s="197" t="inlineStr">
        <is>
          <t>Skoda</t>
        </is>
      </c>
      <c r="C1877" s="198" t="inlineStr">
        <is>
          <t>Kodiaq</t>
        </is>
      </c>
      <c r="D1877" s="199" t="inlineStr">
        <is>
          <t>Kodiaq L&amp;K</t>
        </is>
      </c>
      <c r="E1877" s="200" t="inlineStr">
        <is>
          <t>Moon White Metallic</t>
        </is>
      </c>
    </row>
    <row r="1878" ht="15" customHeight="1">
      <c r="A1878" s="196" t="n">
        <v>1874</v>
      </c>
      <c r="B1878" s="197" t="inlineStr">
        <is>
          <t>Skoda</t>
        </is>
      </c>
      <c r="C1878" s="198" t="inlineStr">
        <is>
          <t>Kodiaq</t>
        </is>
      </c>
      <c r="D1878" s="199" t="inlineStr">
        <is>
          <t>Kodiaq L&amp;K</t>
        </is>
      </c>
      <c r="E1878" s="200" t="inlineStr">
        <is>
          <t>Race Blue Metallic</t>
        </is>
      </c>
    </row>
    <row r="1879" ht="15" customHeight="1">
      <c r="A1879" s="196" t="n">
        <v>1875</v>
      </c>
      <c r="B1879" s="197" t="inlineStr">
        <is>
          <t>Skoda</t>
        </is>
      </c>
      <c r="C1879" s="198" t="inlineStr">
        <is>
          <t>Kodiaq</t>
        </is>
      </c>
      <c r="D1879" s="199" t="inlineStr">
        <is>
          <t>Kodiaq L&amp;K</t>
        </is>
      </c>
      <c r="E1879" s="200" t="inlineStr">
        <is>
          <t>Steel Grey</t>
        </is>
      </c>
    </row>
    <row r="1880" ht="15" customHeight="1">
      <c r="A1880" s="196" t="n">
        <v>1876</v>
      </c>
      <c r="B1880" s="197" t="inlineStr">
        <is>
          <t>Skoda</t>
        </is>
      </c>
      <c r="C1880" s="198" t="inlineStr">
        <is>
          <t>Kodiaq</t>
        </is>
      </c>
      <c r="D1880" s="199" t="inlineStr">
        <is>
          <t>Kodiaq L&amp;K</t>
        </is>
      </c>
      <c r="E1880" s="200" t="inlineStr">
        <is>
          <t>Velvet Red Metallic</t>
        </is>
      </c>
    </row>
    <row r="1881" ht="15" customHeight="1">
      <c r="A1881" s="196" t="n">
        <v>1877</v>
      </c>
      <c r="B1881" s="197" t="inlineStr">
        <is>
          <t>Skoda</t>
        </is>
      </c>
      <c r="C1881" s="198" t="inlineStr">
        <is>
          <t>Kodiaq</t>
        </is>
      </c>
      <c r="D1881" s="199" t="inlineStr">
        <is>
          <t>Kodiaq Lounge</t>
        </is>
      </c>
      <c r="E1881" s="200" t="inlineStr">
        <is>
          <t>Bronx Gold Metallic</t>
        </is>
      </c>
    </row>
    <row r="1882" ht="15" customHeight="1">
      <c r="A1882" s="196" t="n">
        <v>1878</v>
      </c>
      <c r="B1882" s="197" t="inlineStr">
        <is>
          <t>Skoda</t>
        </is>
      </c>
      <c r="C1882" s="198" t="inlineStr">
        <is>
          <t>Kodiaq</t>
        </is>
      </c>
      <c r="D1882" s="199" t="inlineStr">
        <is>
          <t>Kodiaq Lounge</t>
        </is>
      </c>
      <c r="E1882" s="200" t="inlineStr">
        <is>
          <t>Graphite Grey Metallic</t>
        </is>
      </c>
    </row>
    <row r="1883" ht="15" customHeight="1">
      <c r="A1883" s="196" t="n">
        <v>1879</v>
      </c>
      <c r="B1883" s="197" t="inlineStr">
        <is>
          <t>Skoda</t>
        </is>
      </c>
      <c r="C1883" s="198" t="inlineStr">
        <is>
          <t>Kodiaq</t>
        </is>
      </c>
      <c r="D1883" s="199" t="inlineStr">
        <is>
          <t>Kodiaq Lounge</t>
        </is>
      </c>
      <c r="E1883" s="200" t="inlineStr">
        <is>
          <t>Magic Black Metallic</t>
        </is>
      </c>
    </row>
    <row r="1884" ht="15" customHeight="1">
      <c r="A1884" s="196" t="n">
        <v>1880</v>
      </c>
      <c r="B1884" s="197" t="inlineStr">
        <is>
          <t>Skoda</t>
        </is>
      </c>
      <c r="C1884" s="198" t="inlineStr">
        <is>
          <t>Kodiaq</t>
        </is>
      </c>
      <c r="D1884" s="199" t="inlineStr">
        <is>
          <t>Kodiaq Lounge</t>
        </is>
      </c>
      <c r="E1884" s="200" t="inlineStr">
        <is>
          <t>Moon White Metallic</t>
        </is>
      </c>
    </row>
    <row r="1885" ht="15" customHeight="1">
      <c r="A1885" s="196" t="n">
        <v>1881</v>
      </c>
      <c r="B1885" s="197" t="inlineStr">
        <is>
          <t>Skoda</t>
        </is>
      </c>
      <c r="C1885" s="198" t="inlineStr">
        <is>
          <t>Kodiaq</t>
        </is>
      </c>
      <c r="D1885" s="199" t="inlineStr">
        <is>
          <t>Kodiaq Lounge</t>
        </is>
      </c>
      <c r="E1885" s="200" t="inlineStr">
        <is>
          <t>Race Blue Metallic</t>
        </is>
      </c>
    </row>
    <row r="1886" ht="15" customHeight="1">
      <c r="A1886" s="196" t="n">
        <v>1882</v>
      </c>
      <c r="B1886" s="197" t="inlineStr">
        <is>
          <t>Skoda</t>
        </is>
      </c>
      <c r="C1886" s="198" t="inlineStr">
        <is>
          <t>Kodiaq</t>
        </is>
      </c>
      <c r="D1886" s="199" t="inlineStr">
        <is>
          <t>Kodiaq Lounge</t>
        </is>
      </c>
      <c r="E1886" s="200" t="inlineStr">
        <is>
          <t>Steel Grey</t>
        </is>
      </c>
    </row>
    <row r="1887" ht="15" customHeight="1">
      <c r="A1887" s="196" t="n">
        <v>1883</v>
      </c>
      <c r="B1887" s="197" t="inlineStr">
        <is>
          <t>Skoda</t>
        </is>
      </c>
      <c r="C1887" s="198" t="inlineStr">
        <is>
          <t>Kodiaq</t>
        </is>
      </c>
      <c r="D1887" s="199" t="inlineStr">
        <is>
          <t>Kodiaq Lounge</t>
        </is>
      </c>
      <c r="E1887" s="200" t="inlineStr">
        <is>
          <t>Velvet Red Metallic</t>
        </is>
      </c>
    </row>
    <row r="1888" ht="15" customHeight="1">
      <c r="A1888" s="196" t="n">
        <v>1884</v>
      </c>
      <c r="B1888" s="197" t="inlineStr">
        <is>
          <t>Skoda</t>
        </is>
      </c>
      <c r="C1888" s="198" t="inlineStr">
        <is>
          <t>Kodiaq</t>
        </is>
      </c>
      <c r="D1888" s="199" t="inlineStr">
        <is>
          <t>Kodiaq Sportline</t>
        </is>
      </c>
      <c r="E1888" s="200" t="inlineStr">
        <is>
          <t>Bronx Gold Metallic</t>
        </is>
      </c>
    </row>
    <row r="1889" ht="15" customHeight="1">
      <c r="A1889" s="196" t="n">
        <v>1885</v>
      </c>
      <c r="B1889" s="197" t="inlineStr">
        <is>
          <t>Skoda</t>
        </is>
      </c>
      <c r="C1889" s="198" t="inlineStr">
        <is>
          <t>Kodiaq</t>
        </is>
      </c>
      <c r="D1889" s="199" t="inlineStr">
        <is>
          <t>Kodiaq Sportline</t>
        </is>
      </c>
      <c r="E1889" s="200" t="inlineStr">
        <is>
          <t>Graphite Grey Metallic</t>
        </is>
      </c>
    </row>
    <row r="1890" ht="15" customHeight="1">
      <c r="A1890" s="196" t="n">
        <v>1886</v>
      </c>
      <c r="B1890" s="197" t="inlineStr">
        <is>
          <t>Skoda</t>
        </is>
      </c>
      <c r="C1890" s="198" t="inlineStr">
        <is>
          <t>Kodiaq</t>
        </is>
      </c>
      <c r="D1890" s="199" t="inlineStr">
        <is>
          <t>Kodiaq Sportline</t>
        </is>
      </c>
      <c r="E1890" s="200" t="inlineStr">
        <is>
          <t>Magic Black Metallic</t>
        </is>
      </c>
    </row>
    <row r="1891" ht="15" customHeight="1">
      <c r="A1891" s="196" t="n">
        <v>1887</v>
      </c>
      <c r="B1891" s="197" t="inlineStr">
        <is>
          <t>Skoda</t>
        </is>
      </c>
      <c r="C1891" s="198" t="inlineStr">
        <is>
          <t>Kodiaq</t>
        </is>
      </c>
      <c r="D1891" s="199" t="inlineStr">
        <is>
          <t>Kodiaq Sportline</t>
        </is>
      </c>
      <c r="E1891" s="200" t="inlineStr">
        <is>
          <t>Moon White Metallic</t>
        </is>
      </c>
    </row>
    <row r="1892" ht="15" customHeight="1">
      <c r="A1892" s="196" t="n">
        <v>1888</v>
      </c>
      <c r="B1892" s="197" t="inlineStr">
        <is>
          <t>Skoda</t>
        </is>
      </c>
      <c r="C1892" s="198" t="inlineStr">
        <is>
          <t>Kodiaq</t>
        </is>
      </c>
      <c r="D1892" s="199" t="inlineStr">
        <is>
          <t>Kodiaq Sportline</t>
        </is>
      </c>
      <c r="E1892" s="200" t="inlineStr">
        <is>
          <t>Race Blue Metallic</t>
        </is>
      </c>
    </row>
    <row r="1893" ht="15" customHeight="1">
      <c r="A1893" s="196" t="n">
        <v>1889</v>
      </c>
      <c r="B1893" s="197" t="inlineStr">
        <is>
          <t>Skoda</t>
        </is>
      </c>
      <c r="C1893" s="198" t="inlineStr">
        <is>
          <t>Kodiaq</t>
        </is>
      </c>
      <c r="D1893" s="199" t="inlineStr">
        <is>
          <t>Kodiaq Sportline</t>
        </is>
      </c>
      <c r="E1893" s="200" t="inlineStr">
        <is>
          <t>Steel Grey</t>
        </is>
      </c>
    </row>
    <row r="1894" ht="15" customHeight="1">
      <c r="A1894" s="196" t="n">
        <v>1890</v>
      </c>
      <c r="B1894" s="197" t="inlineStr">
        <is>
          <t>Skoda</t>
        </is>
      </c>
      <c r="C1894" s="198" t="inlineStr">
        <is>
          <t>Kodiaq</t>
        </is>
      </c>
      <c r="D1894" s="199" t="inlineStr">
        <is>
          <t>Kodiaq Sportline</t>
        </is>
      </c>
      <c r="E1894" s="200" t="inlineStr">
        <is>
          <t>Velvet Red Metallic</t>
        </is>
      </c>
    </row>
    <row r="1895" ht="15" customHeight="1">
      <c r="A1895" s="196" t="n">
        <v>1891</v>
      </c>
      <c r="B1895" s="197" t="inlineStr">
        <is>
          <t>Skoda</t>
        </is>
      </c>
      <c r="C1895" s="198" t="inlineStr">
        <is>
          <t>Kushaq</t>
        </is>
      </c>
      <c r="D1895" s="199" t="inlineStr">
        <is>
          <t>Kushaq Classic Plus</t>
        </is>
      </c>
      <c r="E1895" s="200" t="inlineStr">
        <is>
          <t>Brilliant Silver</t>
        </is>
      </c>
    </row>
    <row r="1896" ht="15" customHeight="1">
      <c r="A1896" s="196" t="n">
        <v>1892</v>
      </c>
      <c r="B1896" s="197" t="inlineStr">
        <is>
          <t>Skoda</t>
        </is>
      </c>
      <c r="C1896" s="198" t="inlineStr">
        <is>
          <t>Kushaq</t>
        </is>
      </c>
      <c r="D1896" s="199" t="inlineStr">
        <is>
          <t>Kushaq Classic Plus</t>
        </is>
      </c>
      <c r="E1896" s="200" t="inlineStr">
        <is>
          <t>Candy White</t>
        </is>
      </c>
    </row>
    <row r="1897" ht="15" customHeight="1">
      <c r="A1897" s="196" t="n">
        <v>1893</v>
      </c>
      <c r="B1897" s="197" t="inlineStr">
        <is>
          <t>Skoda</t>
        </is>
      </c>
      <c r="C1897" s="198" t="inlineStr">
        <is>
          <t>Kushaq</t>
        </is>
      </c>
      <c r="D1897" s="199" t="inlineStr">
        <is>
          <t>Kushaq Classic Plus</t>
        </is>
      </c>
      <c r="E1897" s="200" t="inlineStr">
        <is>
          <t>Carbon Steel</t>
        </is>
      </c>
    </row>
    <row r="1898" ht="15" customHeight="1">
      <c r="A1898" s="196" t="n">
        <v>1894</v>
      </c>
      <c r="B1898" s="197" t="inlineStr">
        <is>
          <t>Skoda</t>
        </is>
      </c>
      <c r="C1898" s="198" t="inlineStr">
        <is>
          <t>Kushaq</t>
        </is>
      </c>
      <c r="D1898" s="199" t="inlineStr">
        <is>
          <t>Kushaq Classic Plus</t>
        </is>
      </c>
      <c r="E1898" s="200" t="inlineStr">
        <is>
          <t>Cherry Red</t>
        </is>
      </c>
    </row>
    <row r="1899" ht="15" customHeight="1">
      <c r="A1899" s="196" t="n">
        <v>1895</v>
      </c>
      <c r="B1899" s="197" t="inlineStr">
        <is>
          <t>Skoda</t>
        </is>
      </c>
      <c r="C1899" s="198" t="inlineStr">
        <is>
          <t>Kushaq</t>
        </is>
      </c>
      <c r="D1899" s="199" t="inlineStr">
        <is>
          <t>Kushaq Classic Plus</t>
        </is>
      </c>
      <c r="E1899" s="200" t="inlineStr">
        <is>
          <t>Deep Black</t>
        </is>
      </c>
    </row>
    <row r="1900" ht="15" customHeight="1">
      <c r="A1900" s="196" t="n">
        <v>1896</v>
      </c>
      <c r="B1900" s="197" t="inlineStr">
        <is>
          <t>Skoda</t>
        </is>
      </c>
      <c r="C1900" s="198" t="inlineStr">
        <is>
          <t>Kushaq</t>
        </is>
      </c>
      <c r="D1900" s="199" t="inlineStr">
        <is>
          <t>Kushaq Classic Plus</t>
        </is>
      </c>
      <c r="E1900" s="200" t="inlineStr">
        <is>
          <t>Lava Blue</t>
        </is>
      </c>
    </row>
    <row r="1901" ht="15" customHeight="1">
      <c r="A1901" s="196" t="n">
        <v>1897</v>
      </c>
      <c r="B1901" s="197" t="inlineStr">
        <is>
          <t>Skoda</t>
        </is>
      </c>
      <c r="C1901" s="198" t="inlineStr">
        <is>
          <t>Kushaq</t>
        </is>
      </c>
      <c r="D1901" s="199" t="inlineStr">
        <is>
          <t>Kushaq Monte Carlo</t>
        </is>
      </c>
      <c r="E1901" s="200" t="inlineStr">
        <is>
          <t>Brilliant Silver with Black Roof</t>
        </is>
      </c>
    </row>
    <row r="1902" ht="15" customHeight="1">
      <c r="A1902" s="196" t="n">
        <v>1898</v>
      </c>
      <c r="B1902" s="197" t="inlineStr">
        <is>
          <t>Skoda</t>
        </is>
      </c>
      <c r="C1902" s="198" t="inlineStr">
        <is>
          <t>Kushaq</t>
        </is>
      </c>
      <c r="D1902" s="199" t="inlineStr">
        <is>
          <t>Kushaq Monte Carlo</t>
        </is>
      </c>
      <c r="E1902" s="200" t="inlineStr">
        <is>
          <t>Candy White with Black Roof</t>
        </is>
      </c>
    </row>
    <row r="1903" ht="15" customHeight="1">
      <c r="A1903" s="196" t="n">
        <v>1899</v>
      </c>
      <c r="B1903" s="197" t="inlineStr">
        <is>
          <t>Skoda</t>
        </is>
      </c>
      <c r="C1903" s="198" t="inlineStr">
        <is>
          <t>Kushaq</t>
        </is>
      </c>
      <c r="D1903" s="199" t="inlineStr">
        <is>
          <t>Kushaq Monte Carlo</t>
        </is>
      </c>
      <c r="E1903" s="200" t="inlineStr">
        <is>
          <t>Cherry Red with Black Roof</t>
        </is>
      </c>
    </row>
    <row r="1904" ht="15" customHeight="1">
      <c r="A1904" s="196" t="n">
        <v>1900</v>
      </c>
      <c r="B1904" s="197" t="inlineStr">
        <is>
          <t>Skoda</t>
        </is>
      </c>
      <c r="C1904" s="198" t="inlineStr">
        <is>
          <t>Kushaq</t>
        </is>
      </c>
      <c r="D1904" s="199" t="inlineStr">
        <is>
          <t>Kushaq Monte Carlo</t>
        </is>
      </c>
      <c r="E1904" s="200" t="inlineStr">
        <is>
          <t>Deep Black</t>
        </is>
      </c>
    </row>
    <row r="1905" ht="15" customHeight="1">
      <c r="A1905" s="196" t="n">
        <v>1901</v>
      </c>
      <c r="B1905" s="197" t="inlineStr">
        <is>
          <t>Skoda</t>
        </is>
      </c>
      <c r="C1905" s="198" t="inlineStr">
        <is>
          <t>Kushaq</t>
        </is>
      </c>
      <c r="D1905" s="199" t="inlineStr">
        <is>
          <t>Kushaq Monte Carlo</t>
        </is>
      </c>
      <c r="E1905" s="200" t="inlineStr">
        <is>
          <t>Lava Blue</t>
        </is>
      </c>
    </row>
    <row r="1906" ht="15" customHeight="1">
      <c r="A1906" s="196" t="n">
        <v>1902</v>
      </c>
      <c r="B1906" s="197" t="inlineStr">
        <is>
          <t>Skoda</t>
        </is>
      </c>
      <c r="C1906" s="198" t="inlineStr">
        <is>
          <t>Kushaq</t>
        </is>
      </c>
      <c r="D1906" s="199" t="inlineStr">
        <is>
          <t>Kushaq Monte Carlo</t>
        </is>
      </c>
      <c r="E1906" s="200" t="inlineStr">
        <is>
          <t>Shimla Green with Black Roof</t>
        </is>
      </c>
    </row>
    <row r="1907" ht="15" customHeight="1">
      <c r="A1907" s="196" t="n">
        <v>1903</v>
      </c>
      <c r="B1907" s="197" t="inlineStr">
        <is>
          <t>Skoda</t>
        </is>
      </c>
      <c r="C1907" s="198" t="inlineStr">
        <is>
          <t>Kushaq</t>
        </is>
      </c>
      <c r="D1907" s="199" t="inlineStr">
        <is>
          <t>Kushaq Monte Carlo</t>
        </is>
      </c>
      <c r="E1907" s="200" t="inlineStr">
        <is>
          <t>Steel Grey with Black Roof</t>
        </is>
      </c>
    </row>
    <row r="1908" ht="15" customHeight="1">
      <c r="A1908" s="196" t="n">
        <v>1904</v>
      </c>
      <c r="B1908" s="197" t="inlineStr">
        <is>
          <t>Skoda</t>
        </is>
      </c>
      <c r="C1908" s="198" t="inlineStr">
        <is>
          <t>Kushaq</t>
        </is>
      </c>
      <c r="D1908" s="199" t="inlineStr">
        <is>
          <t>Kushaq Prestige</t>
        </is>
      </c>
      <c r="E1908" s="200" t="inlineStr">
        <is>
          <t>Brilliant Silver</t>
        </is>
      </c>
    </row>
    <row r="1909" ht="15" customHeight="1">
      <c r="A1909" s="196" t="n">
        <v>1905</v>
      </c>
      <c r="B1909" s="197" t="inlineStr">
        <is>
          <t>Skoda</t>
        </is>
      </c>
      <c r="C1909" s="198" t="inlineStr">
        <is>
          <t>Kushaq</t>
        </is>
      </c>
      <c r="D1909" s="199" t="inlineStr">
        <is>
          <t>Kushaq Prestige</t>
        </is>
      </c>
      <c r="E1909" s="200" t="inlineStr">
        <is>
          <t>Candy White</t>
        </is>
      </c>
    </row>
    <row r="1910" ht="15" customHeight="1">
      <c r="A1910" s="196" t="n">
        <v>1906</v>
      </c>
      <c r="B1910" s="197" t="inlineStr">
        <is>
          <t>Skoda</t>
        </is>
      </c>
      <c r="C1910" s="198" t="inlineStr">
        <is>
          <t>Kushaq</t>
        </is>
      </c>
      <c r="D1910" s="199" t="inlineStr">
        <is>
          <t>Kushaq Prestige</t>
        </is>
      </c>
      <c r="E1910" s="200" t="inlineStr">
        <is>
          <t>Carbon Steel</t>
        </is>
      </c>
    </row>
    <row r="1911" ht="15" customHeight="1">
      <c r="A1911" s="196" t="n">
        <v>1907</v>
      </c>
      <c r="B1911" s="197" t="inlineStr">
        <is>
          <t>Skoda</t>
        </is>
      </c>
      <c r="C1911" s="198" t="inlineStr">
        <is>
          <t>Kushaq</t>
        </is>
      </c>
      <c r="D1911" s="199" t="inlineStr">
        <is>
          <t>Kushaq Prestige</t>
        </is>
      </c>
      <c r="E1911" s="200" t="inlineStr">
        <is>
          <t>Cherry Red</t>
        </is>
      </c>
    </row>
    <row r="1912" ht="15" customHeight="1">
      <c r="A1912" s="196" t="n">
        <v>1908</v>
      </c>
      <c r="B1912" s="197" t="inlineStr">
        <is>
          <t>Skoda</t>
        </is>
      </c>
      <c r="C1912" s="198" t="inlineStr">
        <is>
          <t>Kushaq</t>
        </is>
      </c>
      <c r="D1912" s="199" t="inlineStr">
        <is>
          <t>Kushaq Prestige</t>
        </is>
      </c>
      <c r="E1912" s="200" t="inlineStr">
        <is>
          <t>Deep Black</t>
        </is>
      </c>
    </row>
    <row r="1913" ht="15" customHeight="1">
      <c r="A1913" s="196" t="n">
        <v>1909</v>
      </c>
      <c r="B1913" s="197" t="inlineStr">
        <is>
          <t>Skoda</t>
        </is>
      </c>
      <c r="C1913" s="198" t="inlineStr">
        <is>
          <t>Kushaq</t>
        </is>
      </c>
      <c r="D1913" s="199" t="inlineStr">
        <is>
          <t>Kushaq Prestige</t>
        </is>
      </c>
      <c r="E1913" s="200" t="inlineStr">
        <is>
          <t>Lava Blue</t>
        </is>
      </c>
    </row>
    <row r="1914" ht="15" customHeight="1">
      <c r="A1914" s="196" t="n">
        <v>1910</v>
      </c>
      <c r="B1914" s="197" t="inlineStr">
        <is>
          <t>Skoda</t>
        </is>
      </c>
      <c r="C1914" s="198" t="inlineStr">
        <is>
          <t>Kushaq</t>
        </is>
      </c>
      <c r="D1914" s="199" t="inlineStr">
        <is>
          <t>Kushaq Prestige</t>
        </is>
      </c>
      <c r="E1914" s="200" t="inlineStr">
        <is>
          <t>Shimla Green</t>
        </is>
      </c>
    </row>
    <row r="1915" ht="15" customHeight="1">
      <c r="A1915" s="196" t="n">
        <v>1911</v>
      </c>
      <c r="B1915" s="197" t="inlineStr">
        <is>
          <t>Skoda</t>
        </is>
      </c>
      <c r="C1915" s="198" t="inlineStr">
        <is>
          <t>Kushaq</t>
        </is>
      </c>
      <c r="D1915" s="199" t="inlineStr">
        <is>
          <t>Kushaq Prestige</t>
        </is>
      </c>
      <c r="E1915" s="200" t="inlineStr">
        <is>
          <t>Steel Grey</t>
        </is>
      </c>
    </row>
    <row r="1916" ht="15" customHeight="1">
      <c r="A1916" s="196" t="n">
        <v>1912</v>
      </c>
      <c r="B1916" s="197" t="inlineStr">
        <is>
          <t>Skoda</t>
        </is>
      </c>
      <c r="C1916" s="198" t="inlineStr">
        <is>
          <t>Kushaq</t>
        </is>
      </c>
      <c r="D1916" s="199" t="inlineStr">
        <is>
          <t>Kushaq Signature</t>
        </is>
      </c>
      <c r="E1916" s="200" t="inlineStr">
        <is>
          <t>Brilliant Silver</t>
        </is>
      </c>
    </row>
    <row r="1917" ht="15" customHeight="1">
      <c r="A1917" s="196" t="n">
        <v>1913</v>
      </c>
      <c r="B1917" s="197" t="inlineStr">
        <is>
          <t>Skoda</t>
        </is>
      </c>
      <c r="C1917" s="198" t="inlineStr">
        <is>
          <t>Kushaq</t>
        </is>
      </c>
      <c r="D1917" s="199" t="inlineStr">
        <is>
          <t>Kushaq Signature</t>
        </is>
      </c>
      <c r="E1917" s="200" t="inlineStr">
        <is>
          <t>Candy White</t>
        </is>
      </c>
    </row>
    <row r="1918" ht="15" customHeight="1">
      <c r="A1918" s="196" t="n">
        <v>1914</v>
      </c>
      <c r="B1918" s="197" t="inlineStr">
        <is>
          <t>Skoda</t>
        </is>
      </c>
      <c r="C1918" s="198" t="inlineStr">
        <is>
          <t>Kushaq</t>
        </is>
      </c>
      <c r="D1918" s="199" t="inlineStr">
        <is>
          <t>Kushaq Signature</t>
        </is>
      </c>
      <c r="E1918" s="200" t="inlineStr">
        <is>
          <t>Carbon Steel</t>
        </is>
      </c>
    </row>
    <row r="1919" ht="15" customHeight="1">
      <c r="A1919" s="196" t="n">
        <v>1915</v>
      </c>
      <c r="B1919" s="197" t="inlineStr">
        <is>
          <t>Skoda</t>
        </is>
      </c>
      <c r="C1919" s="198" t="inlineStr">
        <is>
          <t>Kushaq</t>
        </is>
      </c>
      <c r="D1919" s="199" t="inlineStr">
        <is>
          <t>Kushaq Signature</t>
        </is>
      </c>
      <c r="E1919" s="200" t="inlineStr">
        <is>
          <t>Cherry Red</t>
        </is>
      </c>
    </row>
    <row r="1920" ht="15" customHeight="1">
      <c r="A1920" s="196" t="n">
        <v>1916</v>
      </c>
      <c r="B1920" s="197" t="inlineStr">
        <is>
          <t>Skoda</t>
        </is>
      </c>
      <c r="C1920" s="198" t="inlineStr">
        <is>
          <t>Kushaq</t>
        </is>
      </c>
      <c r="D1920" s="199" t="inlineStr">
        <is>
          <t>Kushaq Signature</t>
        </is>
      </c>
      <c r="E1920" s="200" t="inlineStr">
        <is>
          <t>Deep Black</t>
        </is>
      </c>
    </row>
    <row r="1921" ht="15" customHeight="1">
      <c r="A1921" s="196" t="n">
        <v>1917</v>
      </c>
      <c r="B1921" s="197" t="inlineStr">
        <is>
          <t>Skoda</t>
        </is>
      </c>
      <c r="C1921" s="198" t="inlineStr">
        <is>
          <t>Kushaq</t>
        </is>
      </c>
      <c r="D1921" s="199" t="inlineStr">
        <is>
          <t>Kushaq Signature</t>
        </is>
      </c>
      <c r="E1921" s="200" t="inlineStr">
        <is>
          <t>Lava Blue</t>
        </is>
      </c>
    </row>
    <row r="1922" ht="15" customHeight="1">
      <c r="A1922" s="196" t="n">
        <v>1918</v>
      </c>
      <c r="B1922" s="197" t="inlineStr">
        <is>
          <t>Skoda</t>
        </is>
      </c>
      <c r="C1922" s="198" t="inlineStr">
        <is>
          <t>Kushaq</t>
        </is>
      </c>
      <c r="D1922" s="199" t="inlineStr">
        <is>
          <t>Kushaq Sportline</t>
        </is>
      </c>
      <c r="E1922" s="200" t="inlineStr">
        <is>
          <t>Brilliant Silver</t>
        </is>
      </c>
    </row>
    <row r="1923" ht="15" customHeight="1">
      <c r="A1923" s="196" t="n">
        <v>1919</v>
      </c>
      <c r="B1923" s="197" t="inlineStr">
        <is>
          <t>Skoda</t>
        </is>
      </c>
      <c r="C1923" s="198" t="inlineStr">
        <is>
          <t>Kushaq</t>
        </is>
      </c>
      <c r="D1923" s="199" t="inlineStr">
        <is>
          <t>Kushaq Sportline</t>
        </is>
      </c>
      <c r="E1923" s="200" t="inlineStr">
        <is>
          <t>Candy White</t>
        </is>
      </c>
    </row>
    <row r="1924" ht="15" customHeight="1">
      <c r="A1924" s="196" t="n">
        <v>1920</v>
      </c>
      <c r="B1924" s="197" t="inlineStr">
        <is>
          <t>Skoda</t>
        </is>
      </c>
      <c r="C1924" s="198" t="inlineStr">
        <is>
          <t>Kushaq</t>
        </is>
      </c>
      <c r="D1924" s="199" t="inlineStr">
        <is>
          <t>Kushaq Sportline</t>
        </is>
      </c>
      <c r="E1924" s="200" t="inlineStr">
        <is>
          <t>Carbon Steel</t>
        </is>
      </c>
    </row>
    <row r="1925" ht="15" customHeight="1">
      <c r="A1925" s="196" t="n">
        <v>1921</v>
      </c>
      <c r="B1925" s="197" t="inlineStr">
        <is>
          <t>Skoda</t>
        </is>
      </c>
      <c r="C1925" s="198" t="inlineStr">
        <is>
          <t>Kushaq</t>
        </is>
      </c>
      <c r="D1925" s="199" t="inlineStr">
        <is>
          <t>Kushaq Sportline</t>
        </is>
      </c>
      <c r="E1925" s="200" t="inlineStr">
        <is>
          <t>Cherry Red</t>
        </is>
      </c>
    </row>
    <row r="1926" ht="15" customHeight="1">
      <c r="A1926" s="196" t="n">
        <v>1922</v>
      </c>
      <c r="B1926" s="197" t="inlineStr">
        <is>
          <t>Skoda</t>
        </is>
      </c>
      <c r="C1926" s="198" t="inlineStr">
        <is>
          <t>Kushaq</t>
        </is>
      </c>
      <c r="D1926" s="199" t="inlineStr">
        <is>
          <t>Kushaq Sportline</t>
        </is>
      </c>
      <c r="E1926" s="200" t="inlineStr">
        <is>
          <t>Deep Black</t>
        </is>
      </c>
    </row>
    <row r="1927" ht="15" customHeight="1">
      <c r="A1927" s="196" t="n">
        <v>1923</v>
      </c>
      <c r="B1927" s="197" t="inlineStr">
        <is>
          <t>Skoda</t>
        </is>
      </c>
      <c r="C1927" s="198" t="inlineStr">
        <is>
          <t>Kushaq</t>
        </is>
      </c>
      <c r="D1927" s="199" t="inlineStr">
        <is>
          <t>Kushaq Sportline</t>
        </is>
      </c>
      <c r="E1927" s="200" t="inlineStr">
        <is>
          <t>Lava Blue</t>
        </is>
      </c>
    </row>
    <row r="1928" ht="15" customHeight="1">
      <c r="A1928" s="196" t="n">
        <v>1924</v>
      </c>
      <c r="B1928" s="197" t="inlineStr">
        <is>
          <t>Skoda</t>
        </is>
      </c>
      <c r="C1928" s="198" t="inlineStr">
        <is>
          <t>Kushaq</t>
        </is>
      </c>
      <c r="D1928" s="199" t="inlineStr">
        <is>
          <t>Kushaq Sportline</t>
        </is>
      </c>
      <c r="E1928" s="200" t="inlineStr">
        <is>
          <t>Shimla Green</t>
        </is>
      </c>
    </row>
    <row r="1929" ht="15" customHeight="1">
      <c r="A1929" s="196" t="n">
        <v>1925</v>
      </c>
      <c r="B1929" s="197" t="inlineStr">
        <is>
          <t>Skoda</t>
        </is>
      </c>
      <c r="C1929" s="198" t="inlineStr">
        <is>
          <t>Kushaq</t>
        </is>
      </c>
      <c r="D1929" s="199" t="inlineStr">
        <is>
          <t>Kushaq Sportline</t>
        </is>
      </c>
      <c r="E1929" s="200" t="inlineStr">
        <is>
          <t>Steel Grey</t>
        </is>
      </c>
    </row>
    <row r="1930" ht="15" customHeight="1">
      <c r="A1930" s="196" t="n">
        <v>1926</v>
      </c>
      <c r="B1930" s="197" t="inlineStr">
        <is>
          <t>Skoda</t>
        </is>
      </c>
      <c r="C1930" s="198" t="inlineStr">
        <is>
          <t>Kylaq</t>
        </is>
      </c>
      <c r="D1930" s="199" t="inlineStr">
        <is>
          <t>Kylaq Classic</t>
        </is>
      </c>
      <c r="E1930" s="200" t="inlineStr">
        <is>
          <t>Brilliant Silver</t>
        </is>
      </c>
    </row>
    <row r="1931" ht="15" customHeight="1">
      <c r="A1931" s="196" t="n">
        <v>1927</v>
      </c>
      <c r="B1931" s="197" t="inlineStr">
        <is>
          <t>Skoda</t>
        </is>
      </c>
      <c r="C1931" s="198" t="inlineStr">
        <is>
          <t>Kylaq</t>
        </is>
      </c>
      <c r="D1931" s="199" t="inlineStr">
        <is>
          <t>Kylaq Classic</t>
        </is>
      </c>
      <c r="E1931" s="200" t="inlineStr">
        <is>
          <t>Candy White</t>
        </is>
      </c>
    </row>
    <row r="1932" ht="15" customHeight="1">
      <c r="A1932" s="196" t="n">
        <v>1928</v>
      </c>
      <c r="B1932" s="197" t="inlineStr">
        <is>
          <t>Skoda</t>
        </is>
      </c>
      <c r="C1932" s="198" t="inlineStr">
        <is>
          <t>Kylaq</t>
        </is>
      </c>
      <c r="D1932" s="199" t="inlineStr">
        <is>
          <t>Kylaq Classic</t>
        </is>
      </c>
      <c r="E1932" s="200" t="inlineStr">
        <is>
          <t>Carbon Steel</t>
        </is>
      </c>
    </row>
    <row r="1933" ht="15" customHeight="1">
      <c r="A1933" s="196" t="n">
        <v>1929</v>
      </c>
      <c r="B1933" s="197" t="inlineStr">
        <is>
          <t>Skoda</t>
        </is>
      </c>
      <c r="C1933" s="198" t="inlineStr">
        <is>
          <t>Kylaq</t>
        </is>
      </c>
      <c r="D1933" s="199" t="inlineStr">
        <is>
          <t>Kylaq Classic</t>
        </is>
      </c>
      <c r="E1933" s="200" t="inlineStr">
        <is>
          <t>Cherry Red</t>
        </is>
      </c>
    </row>
    <row r="1934" ht="15" customHeight="1">
      <c r="A1934" s="196" t="n">
        <v>1930</v>
      </c>
      <c r="B1934" s="197" t="inlineStr">
        <is>
          <t>Skoda</t>
        </is>
      </c>
      <c r="C1934" s="198" t="inlineStr">
        <is>
          <t>Kylaq</t>
        </is>
      </c>
      <c r="D1934" s="199" t="inlineStr">
        <is>
          <t>Kylaq Classic Plus</t>
        </is>
      </c>
      <c r="E1934" s="200" t="inlineStr">
        <is>
          <t>Brilliant Silver</t>
        </is>
      </c>
    </row>
    <row r="1935" ht="15" customHeight="1">
      <c r="A1935" s="196" t="n">
        <v>1931</v>
      </c>
      <c r="B1935" s="197" t="inlineStr">
        <is>
          <t>Skoda</t>
        </is>
      </c>
      <c r="C1935" s="198" t="inlineStr">
        <is>
          <t>Kylaq</t>
        </is>
      </c>
      <c r="D1935" s="199" t="inlineStr">
        <is>
          <t>Kylaq Classic Plus</t>
        </is>
      </c>
      <c r="E1935" s="200" t="inlineStr">
        <is>
          <t>Candy White</t>
        </is>
      </c>
    </row>
    <row r="1936" ht="15" customHeight="1">
      <c r="A1936" s="196" t="n">
        <v>1932</v>
      </c>
      <c r="B1936" s="197" t="inlineStr">
        <is>
          <t>Skoda</t>
        </is>
      </c>
      <c r="C1936" s="198" t="inlineStr">
        <is>
          <t>Kylaq</t>
        </is>
      </c>
      <c r="D1936" s="199" t="inlineStr">
        <is>
          <t>Kylaq Classic Plus</t>
        </is>
      </c>
      <c r="E1936" s="200" t="inlineStr">
        <is>
          <t>Carbon Steel</t>
        </is>
      </c>
    </row>
    <row r="1937" ht="15" customHeight="1">
      <c r="A1937" s="196" t="n">
        <v>1933</v>
      </c>
      <c r="B1937" s="197" t="inlineStr">
        <is>
          <t>Skoda</t>
        </is>
      </c>
      <c r="C1937" s="198" t="inlineStr">
        <is>
          <t>Kylaq</t>
        </is>
      </c>
      <c r="D1937" s="199" t="inlineStr">
        <is>
          <t>Kylaq Classic Plus</t>
        </is>
      </c>
      <c r="E1937" s="200" t="inlineStr">
        <is>
          <t>Cherry Red</t>
        </is>
      </c>
    </row>
    <row r="1938" ht="15" customHeight="1">
      <c r="A1938" s="196" t="n">
        <v>1934</v>
      </c>
      <c r="B1938" s="197" t="inlineStr">
        <is>
          <t>Skoda</t>
        </is>
      </c>
      <c r="C1938" s="198" t="inlineStr">
        <is>
          <t>Kylaq</t>
        </is>
      </c>
      <c r="D1938" s="199" t="inlineStr">
        <is>
          <t>Kylaq Classic Plus</t>
        </is>
      </c>
      <c r="E1938" s="200" t="inlineStr">
        <is>
          <t>Deep Black</t>
        </is>
      </c>
    </row>
    <row r="1939" ht="15" customHeight="1">
      <c r="A1939" s="196" t="n">
        <v>1935</v>
      </c>
      <c r="B1939" s="197" t="inlineStr">
        <is>
          <t>Skoda</t>
        </is>
      </c>
      <c r="C1939" s="198" t="inlineStr">
        <is>
          <t>Kylaq</t>
        </is>
      </c>
      <c r="D1939" s="199" t="inlineStr">
        <is>
          <t>Kylaq Classic Plus</t>
        </is>
      </c>
      <c r="E1939" s="200" t="inlineStr">
        <is>
          <t>Lava Blue</t>
        </is>
      </c>
    </row>
    <row r="1940" ht="15" customHeight="1">
      <c r="A1940" s="196" t="n">
        <v>1936</v>
      </c>
      <c r="B1940" s="197" t="inlineStr">
        <is>
          <t>Skoda</t>
        </is>
      </c>
      <c r="C1940" s="198" t="inlineStr">
        <is>
          <t>Kylaq</t>
        </is>
      </c>
      <c r="D1940" s="199" t="inlineStr">
        <is>
          <t>Kylaq Prestige</t>
        </is>
      </c>
      <c r="E1940" s="200" t="inlineStr">
        <is>
          <t>Brilliant Silver</t>
        </is>
      </c>
    </row>
    <row r="1941" ht="15" customHeight="1">
      <c r="A1941" s="196" t="n">
        <v>1937</v>
      </c>
      <c r="B1941" s="197" t="inlineStr">
        <is>
          <t>Skoda</t>
        </is>
      </c>
      <c r="C1941" s="198" t="inlineStr">
        <is>
          <t>Kylaq</t>
        </is>
      </c>
      <c r="D1941" s="199" t="inlineStr">
        <is>
          <t>Kylaq Prestige</t>
        </is>
      </c>
      <c r="E1941" s="200" t="inlineStr">
        <is>
          <t>Candy White</t>
        </is>
      </c>
    </row>
    <row r="1942" ht="15" customHeight="1">
      <c r="A1942" s="196" t="n">
        <v>1938</v>
      </c>
      <c r="B1942" s="197" t="inlineStr">
        <is>
          <t>Skoda</t>
        </is>
      </c>
      <c r="C1942" s="198" t="inlineStr">
        <is>
          <t>Kylaq</t>
        </is>
      </c>
      <c r="D1942" s="199" t="inlineStr">
        <is>
          <t>Kylaq Prestige</t>
        </is>
      </c>
      <c r="E1942" s="200" t="inlineStr">
        <is>
          <t>Carbon Steel</t>
        </is>
      </c>
    </row>
    <row r="1943" ht="15" customHeight="1">
      <c r="A1943" s="196" t="n">
        <v>1939</v>
      </c>
      <c r="B1943" s="197" t="inlineStr">
        <is>
          <t>Skoda</t>
        </is>
      </c>
      <c r="C1943" s="198" t="inlineStr">
        <is>
          <t>Kylaq</t>
        </is>
      </c>
      <c r="D1943" s="199" t="inlineStr">
        <is>
          <t>Kylaq Prestige</t>
        </is>
      </c>
      <c r="E1943" s="200" t="inlineStr">
        <is>
          <t>Cherry Red</t>
        </is>
      </c>
    </row>
    <row r="1944" ht="15" customHeight="1">
      <c r="A1944" s="196" t="n">
        <v>1940</v>
      </c>
      <c r="B1944" s="197" t="inlineStr">
        <is>
          <t>Skoda</t>
        </is>
      </c>
      <c r="C1944" s="198" t="inlineStr">
        <is>
          <t>Kylaq</t>
        </is>
      </c>
      <c r="D1944" s="199" t="inlineStr">
        <is>
          <t>Kylaq Prestige</t>
        </is>
      </c>
      <c r="E1944" s="200" t="inlineStr">
        <is>
          <t>Deep Black</t>
        </is>
      </c>
    </row>
    <row r="1945" ht="15" customHeight="1">
      <c r="A1945" s="196" t="n">
        <v>1941</v>
      </c>
      <c r="B1945" s="197" t="inlineStr">
        <is>
          <t>Skoda</t>
        </is>
      </c>
      <c r="C1945" s="198" t="inlineStr">
        <is>
          <t>Kylaq</t>
        </is>
      </c>
      <c r="D1945" s="199" t="inlineStr">
        <is>
          <t>Kylaq Prestige</t>
        </is>
      </c>
      <c r="E1945" s="200" t="inlineStr">
        <is>
          <t>Lava Blue</t>
        </is>
      </c>
    </row>
    <row r="1946" ht="15" customHeight="1">
      <c r="A1946" s="196" t="n">
        <v>1942</v>
      </c>
      <c r="B1946" s="197" t="inlineStr">
        <is>
          <t>Skoda</t>
        </is>
      </c>
      <c r="C1946" s="198" t="inlineStr">
        <is>
          <t>Kylaq</t>
        </is>
      </c>
      <c r="D1946" s="199" t="inlineStr">
        <is>
          <t>Kylaq Prestige Plus</t>
        </is>
      </c>
      <c r="E1946" s="200" t="inlineStr">
        <is>
          <t>Brilliant Silver</t>
        </is>
      </c>
    </row>
    <row r="1947" ht="15" customHeight="1">
      <c r="A1947" s="196" t="n">
        <v>1943</v>
      </c>
      <c r="B1947" s="197" t="inlineStr">
        <is>
          <t>Skoda</t>
        </is>
      </c>
      <c r="C1947" s="198" t="inlineStr">
        <is>
          <t>Kylaq</t>
        </is>
      </c>
      <c r="D1947" s="199" t="inlineStr">
        <is>
          <t>Kylaq Prestige Plus</t>
        </is>
      </c>
      <c r="E1947" s="200" t="inlineStr">
        <is>
          <t>Candy White</t>
        </is>
      </c>
    </row>
    <row r="1948" ht="15" customHeight="1">
      <c r="A1948" s="196" t="n">
        <v>1944</v>
      </c>
      <c r="B1948" s="197" t="inlineStr">
        <is>
          <t>Skoda</t>
        </is>
      </c>
      <c r="C1948" s="198" t="inlineStr">
        <is>
          <t>Kylaq</t>
        </is>
      </c>
      <c r="D1948" s="199" t="inlineStr">
        <is>
          <t>Kylaq Prestige Plus</t>
        </is>
      </c>
      <c r="E1948" s="200" t="inlineStr">
        <is>
          <t>Carbon Steel</t>
        </is>
      </c>
    </row>
    <row r="1949" ht="15" customHeight="1">
      <c r="A1949" s="196" t="n">
        <v>1945</v>
      </c>
      <c r="B1949" s="197" t="inlineStr">
        <is>
          <t>Skoda</t>
        </is>
      </c>
      <c r="C1949" s="198" t="inlineStr">
        <is>
          <t>Kylaq</t>
        </is>
      </c>
      <c r="D1949" s="199" t="inlineStr">
        <is>
          <t>Kylaq Prestige Plus</t>
        </is>
      </c>
      <c r="E1949" s="200" t="inlineStr">
        <is>
          <t>Cherry Red</t>
        </is>
      </c>
    </row>
    <row r="1950" ht="15" customHeight="1">
      <c r="A1950" s="196" t="n">
        <v>1946</v>
      </c>
      <c r="B1950" s="197" t="inlineStr">
        <is>
          <t>Skoda</t>
        </is>
      </c>
      <c r="C1950" s="198" t="inlineStr">
        <is>
          <t>Kylaq</t>
        </is>
      </c>
      <c r="D1950" s="199" t="inlineStr">
        <is>
          <t>Kylaq Prestige Plus</t>
        </is>
      </c>
      <c r="E1950" s="200" t="inlineStr">
        <is>
          <t>Deep Black</t>
        </is>
      </c>
    </row>
    <row r="1951" ht="15" customHeight="1">
      <c r="A1951" s="196" t="n">
        <v>1947</v>
      </c>
      <c r="B1951" s="197" t="inlineStr">
        <is>
          <t>Skoda</t>
        </is>
      </c>
      <c r="C1951" s="198" t="inlineStr">
        <is>
          <t>Kylaq</t>
        </is>
      </c>
      <c r="D1951" s="199" t="inlineStr">
        <is>
          <t>Kylaq Prestige Plus</t>
        </is>
      </c>
      <c r="E1951" s="200" t="inlineStr">
        <is>
          <t>Lava Blue</t>
        </is>
      </c>
    </row>
    <row r="1952" ht="15" customHeight="1">
      <c r="A1952" s="196" t="n">
        <v>1948</v>
      </c>
      <c r="B1952" s="197" t="inlineStr">
        <is>
          <t>Skoda</t>
        </is>
      </c>
      <c r="C1952" s="198" t="inlineStr">
        <is>
          <t>Kylaq</t>
        </is>
      </c>
      <c r="D1952" s="199" t="inlineStr">
        <is>
          <t>Kylaq Signature</t>
        </is>
      </c>
      <c r="E1952" s="200" t="inlineStr">
        <is>
          <t>Brilliant Silver</t>
        </is>
      </c>
    </row>
    <row r="1953" ht="15" customHeight="1">
      <c r="A1953" s="196" t="n">
        <v>1949</v>
      </c>
      <c r="B1953" s="197" t="inlineStr">
        <is>
          <t>Skoda</t>
        </is>
      </c>
      <c r="C1953" s="198" t="inlineStr">
        <is>
          <t>Kylaq</t>
        </is>
      </c>
      <c r="D1953" s="199" t="inlineStr">
        <is>
          <t>Kylaq Signature</t>
        </is>
      </c>
      <c r="E1953" s="200" t="inlineStr">
        <is>
          <t>Candy White</t>
        </is>
      </c>
    </row>
    <row r="1954" ht="15" customHeight="1">
      <c r="A1954" s="196" t="n">
        <v>1950</v>
      </c>
      <c r="B1954" s="197" t="inlineStr">
        <is>
          <t>Skoda</t>
        </is>
      </c>
      <c r="C1954" s="198" t="inlineStr">
        <is>
          <t>Kylaq</t>
        </is>
      </c>
      <c r="D1954" s="199" t="inlineStr">
        <is>
          <t>Kylaq Signature</t>
        </is>
      </c>
      <c r="E1954" s="200" t="inlineStr">
        <is>
          <t>Carbon Steel</t>
        </is>
      </c>
    </row>
    <row r="1955" ht="15" customHeight="1">
      <c r="A1955" s="196" t="n">
        <v>1951</v>
      </c>
      <c r="B1955" s="197" t="inlineStr">
        <is>
          <t>Skoda</t>
        </is>
      </c>
      <c r="C1955" s="198" t="inlineStr">
        <is>
          <t>Kylaq</t>
        </is>
      </c>
      <c r="D1955" s="199" t="inlineStr">
        <is>
          <t>Kylaq Signature</t>
        </is>
      </c>
      <c r="E1955" s="200" t="inlineStr">
        <is>
          <t>Cherry Red</t>
        </is>
      </c>
    </row>
    <row r="1956" ht="15" customHeight="1">
      <c r="A1956" s="196" t="n">
        <v>1952</v>
      </c>
      <c r="B1956" s="197" t="inlineStr">
        <is>
          <t>Skoda</t>
        </is>
      </c>
      <c r="C1956" s="198" t="inlineStr">
        <is>
          <t>Kylaq</t>
        </is>
      </c>
      <c r="D1956" s="199" t="inlineStr">
        <is>
          <t>Kylaq Signature</t>
        </is>
      </c>
      <c r="E1956" s="200" t="inlineStr">
        <is>
          <t>Deep Black</t>
        </is>
      </c>
    </row>
    <row r="1957" ht="15" customHeight="1">
      <c r="A1957" s="196" t="n">
        <v>1953</v>
      </c>
      <c r="B1957" s="197" t="inlineStr">
        <is>
          <t>Skoda</t>
        </is>
      </c>
      <c r="C1957" s="198" t="inlineStr">
        <is>
          <t>Kylaq</t>
        </is>
      </c>
      <c r="D1957" s="199" t="inlineStr">
        <is>
          <t>Kylaq Signature</t>
        </is>
      </c>
      <c r="E1957" s="200" t="inlineStr">
        <is>
          <t>Lava Blue</t>
        </is>
      </c>
    </row>
    <row r="1958" ht="15" customHeight="1">
      <c r="A1958" s="196" t="n">
        <v>1954</v>
      </c>
      <c r="B1958" s="197" t="inlineStr">
        <is>
          <t>Skoda</t>
        </is>
      </c>
      <c r="C1958" s="198" t="inlineStr">
        <is>
          <t>Kylaq</t>
        </is>
      </c>
      <c r="D1958" s="199" t="inlineStr">
        <is>
          <t>Kylaq Signature Plus</t>
        </is>
      </c>
      <c r="E1958" s="200" t="inlineStr">
        <is>
          <t>Brilliant Silver</t>
        </is>
      </c>
    </row>
    <row r="1959" ht="15" customHeight="1">
      <c r="A1959" s="196" t="n">
        <v>1955</v>
      </c>
      <c r="B1959" s="197" t="inlineStr">
        <is>
          <t>Skoda</t>
        </is>
      </c>
      <c r="C1959" s="198" t="inlineStr">
        <is>
          <t>Kylaq</t>
        </is>
      </c>
      <c r="D1959" s="199" t="inlineStr">
        <is>
          <t>Kylaq Signature Plus</t>
        </is>
      </c>
      <c r="E1959" s="200" t="inlineStr">
        <is>
          <t>Candy White</t>
        </is>
      </c>
    </row>
    <row r="1960" ht="15" customHeight="1">
      <c r="A1960" s="196" t="n">
        <v>1956</v>
      </c>
      <c r="B1960" s="197" t="inlineStr">
        <is>
          <t>Skoda</t>
        </is>
      </c>
      <c r="C1960" s="198" t="inlineStr">
        <is>
          <t>Kylaq</t>
        </is>
      </c>
      <c r="D1960" s="199" t="inlineStr">
        <is>
          <t>Kylaq Signature Plus</t>
        </is>
      </c>
      <c r="E1960" s="200" t="inlineStr">
        <is>
          <t>Carbon Steel</t>
        </is>
      </c>
    </row>
    <row r="1961" ht="15" customHeight="1">
      <c r="A1961" s="196" t="n">
        <v>1957</v>
      </c>
      <c r="B1961" s="197" t="inlineStr">
        <is>
          <t>Skoda</t>
        </is>
      </c>
      <c r="C1961" s="198" t="inlineStr">
        <is>
          <t>Kylaq</t>
        </is>
      </c>
      <c r="D1961" s="199" t="inlineStr">
        <is>
          <t>Kylaq Signature Plus</t>
        </is>
      </c>
      <c r="E1961" s="200" t="inlineStr">
        <is>
          <t>Cherry Red</t>
        </is>
      </c>
    </row>
    <row r="1962" ht="15" customHeight="1">
      <c r="A1962" s="196" t="n">
        <v>1958</v>
      </c>
      <c r="B1962" s="197" t="inlineStr">
        <is>
          <t>Skoda</t>
        </is>
      </c>
      <c r="C1962" s="198" t="inlineStr">
        <is>
          <t>Kylaq</t>
        </is>
      </c>
      <c r="D1962" s="199" t="inlineStr">
        <is>
          <t>Kylaq Signature Plus</t>
        </is>
      </c>
      <c r="E1962" s="200" t="inlineStr">
        <is>
          <t>Deep Black</t>
        </is>
      </c>
    </row>
    <row r="1963" ht="15" customHeight="1">
      <c r="A1963" s="196" t="n">
        <v>1959</v>
      </c>
      <c r="B1963" s="197" t="inlineStr">
        <is>
          <t>Skoda</t>
        </is>
      </c>
      <c r="C1963" s="198" t="inlineStr">
        <is>
          <t>Kylaq</t>
        </is>
      </c>
      <c r="D1963" s="199" t="inlineStr">
        <is>
          <t>Kylaq Signature Plus</t>
        </is>
      </c>
      <c r="E1963" s="200" t="inlineStr">
        <is>
          <t>Lava Blue</t>
        </is>
      </c>
    </row>
    <row r="1964" ht="15" customHeight="1">
      <c r="A1964" s="196" t="n">
        <v>1960</v>
      </c>
      <c r="B1964" s="197" t="inlineStr">
        <is>
          <t>Skoda</t>
        </is>
      </c>
      <c r="C1964" s="198" t="inlineStr">
        <is>
          <t>Kylaq</t>
        </is>
      </c>
      <c r="D1964" s="199" t="inlineStr">
        <is>
          <t>Kylaq Sportline</t>
        </is>
      </c>
      <c r="E1964" s="200" t="inlineStr">
        <is>
          <t>Candy White</t>
        </is>
      </c>
    </row>
    <row r="1965" ht="15" customHeight="1">
      <c r="A1965" s="196" t="n">
        <v>1961</v>
      </c>
      <c r="B1965" s="197" t="inlineStr">
        <is>
          <t>Skoda</t>
        </is>
      </c>
      <c r="C1965" s="198" t="inlineStr">
        <is>
          <t>Kylaq</t>
        </is>
      </c>
      <c r="D1965" s="199" t="inlineStr">
        <is>
          <t>Kylaq Sportline</t>
        </is>
      </c>
      <c r="E1965" s="200" t="inlineStr">
        <is>
          <t>Deep Black</t>
        </is>
      </c>
    </row>
    <row r="1966" ht="15" customHeight="1">
      <c r="A1966" s="196" t="n">
        <v>1962</v>
      </c>
      <c r="B1966" s="197" t="inlineStr">
        <is>
          <t>Skoda</t>
        </is>
      </c>
      <c r="C1966" s="198" t="inlineStr">
        <is>
          <t>Octavia</t>
        </is>
      </c>
      <c r="D1966" s="199" t="inlineStr">
        <is>
          <t>Octavia RS 2.0 TSI</t>
        </is>
      </c>
      <c r="E1966" s="200" t="inlineStr">
        <is>
          <t>Candy White</t>
        </is>
      </c>
    </row>
    <row r="1967" ht="15" customHeight="1">
      <c r="A1967" s="196" t="n">
        <v>1963</v>
      </c>
      <c r="B1967" s="197" t="inlineStr">
        <is>
          <t>Skoda</t>
        </is>
      </c>
      <c r="C1967" s="198" t="inlineStr">
        <is>
          <t>Octavia</t>
        </is>
      </c>
      <c r="D1967" s="199" t="inlineStr">
        <is>
          <t>Octavia RS 2.0 TSI</t>
        </is>
      </c>
      <c r="E1967" s="200" t="inlineStr">
        <is>
          <t>Magic Black</t>
        </is>
      </c>
    </row>
    <row r="1968" ht="15" customHeight="1">
      <c r="A1968" s="196" t="n">
        <v>1964</v>
      </c>
      <c r="B1968" s="197" t="inlineStr">
        <is>
          <t>Skoda</t>
        </is>
      </c>
      <c r="C1968" s="198" t="inlineStr">
        <is>
          <t>Octavia</t>
        </is>
      </c>
      <c r="D1968" s="199" t="inlineStr">
        <is>
          <t>Octavia RS 2.0 TSI</t>
        </is>
      </c>
      <c r="E1968" s="200" t="inlineStr">
        <is>
          <t>Mamba Green</t>
        </is>
      </c>
    </row>
    <row r="1969" ht="15" customHeight="1">
      <c r="A1969" s="196" t="n">
        <v>1965</v>
      </c>
      <c r="B1969" s="197" t="inlineStr">
        <is>
          <t>Skoda</t>
        </is>
      </c>
      <c r="C1969" s="198" t="inlineStr">
        <is>
          <t>Octavia</t>
        </is>
      </c>
      <c r="D1969" s="199" t="inlineStr">
        <is>
          <t>Octavia RS 2.0 TSI</t>
        </is>
      </c>
      <c r="E1969" s="200" t="inlineStr">
        <is>
          <t>Race Blue</t>
        </is>
      </c>
    </row>
    <row r="1970" ht="15" customHeight="1">
      <c r="A1970" s="196" t="n">
        <v>1966</v>
      </c>
      <c r="B1970" s="197" t="inlineStr">
        <is>
          <t>Skoda</t>
        </is>
      </c>
      <c r="C1970" s="198" t="inlineStr">
        <is>
          <t>Octavia</t>
        </is>
      </c>
      <c r="D1970" s="199" t="inlineStr">
        <is>
          <t>Octavia RS 2.0 TSI</t>
        </is>
      </c>
      <c r="E1970" s="200" t="inlineStr">
        <is>
          <t>Velvet Red</t>
        </is>
      </c>
    </row>
    <row r="1971" ht="15" customHeight="1">
      <c r="A1971" s="196" t="n">
        <v>1967</v>
      </c>
      <c r="B1971" s="197" t="inlineStr">
        <is>
          <t>Skoda</t>
        </is>
      </c>
      <c r="C1971" s="198" t="inlineStr">
        <is>
          <t>Rapid</t>
        </is>
      </c>
      <c r="D1971" s="199" t="inlineStr">
        <is>
          <t>Rapid Active</t>
        </is>
      </c>
      <c r="E1971" s="200" t="inlineStr">
        <is>
          <t>Brilliant Silver</t>
        </is>
      </c>
    </row>
    <row r="1972" ht="15" customHeight="1">
      <c r="A1972" s="196" t="n">
        <v>1968</v>
      </c>
      <c r="B1972" s="197" t="inlineStr">
        <is>
          <t>Skoda</t>
        </is>
      </c>
      <c r="C1972" s="198" t="inlineStr">
        <is>
          <t>Rapid</t>
        </is>
      </c>
      <c r="D1972" s="199" t="inlineStr">
        <is>
          <t>Rapid Active</t>
        </is>
      </c>
      <c r="E1972" s="200" t="inlineStr">
        <is>
          <t>Candy White</t>
        </is>
      </c>
    </row>
    <row r="1973" ht="15" customHeight="1">
      <c r="A1973" s="196" t="n">
        <v>1969</v>
      </c>
      <c r="B1973" s="197" t="inlineStr">
        <is>
          <t>Skoda</t>
        </is>
      </c>
      <c r="C1973" s="198" t="inlineStr">
        <is>
          <t>Rapid</t>
        </is>
      </c>
      <c r="D1973" s="199" t="inlineStr">
        <is>
          <t>Rapid Active</t>
        </is>
      </c>
      <c r="E1973" s="200" t="inlineStr">
        <is>
          <t>Cappuccino Beige</t>
        </is>
      </c>
    </row>
    <row r="1974" ht="15" customHeight="1">
      <c r="A1974" s="196" t="n">
        <v>1970</v>
      </c>
      <c r="B1974" s="197" t="inlineStr">
        <is>
          <t>Skoda</t>
        </is>
      </c>
      <c r="C1974" s="198" t="inlineStr">
        <is>
          <t>Rapid</t>
        </is>
      </c>
      <c r="D1974" s="199" t="inlineStr">
        <is>
          <t>Rapid Active</t>
        </is>
      </c>
      <c r="E1974" s="200" t="inlineStr">
        <is>
          <t>Carbon Steel</t>
        </is>
      </c>
    </row>
    <row r="1975" ht="15" customHeight="1">
      <c r="A1975" s="196" t="n">
        <v>1971</v>
      </c>
      <c r="B1975" s="197" t="inlineStr">
        <is>
          <t>Skoda</t>
        </is>
      </c>
      <c r="C1975" s="198" t="inlineStr">
        <is>
          <t>Rapid</t>
        </is>
      </c>
      <c r="D1975" s="199" t="inlineStr">
        <is>
          <t>Rapid Ambition</t>
        </is>
      </c>
      <c r="E1975" s="200" t="inlineStr">
        <is>
          <t>Brilliant Silver</t>
        </is>
      </c>
    </row>
    <row r="1976" ht="15" customHeight="1">
      <c r="A1976" s="196" t="n">
        <v>1972</v>
      </c>
      <c r="B1976" s="197" t="inlineStr">
        <is>
          <t>Skoda</t>
        </is>
      </c>
      <c r="C1976" s="198" t="inlineStr">
        <is>
          <t>Rapid</t>
        </is>
      </c>
      <c r="D1976" s="199" t="inlineStr">
        <is>
          <t>Rapid Ambition</t>
        </is>
      </c>
      <c r="E1976" s="200" t="inlineStr">
        <is>
          <t>Candy White</t>
        </is>
      </c>
    </row>
    <row r="1977" ht="15" customHeight="1">
      <c r="A1977" s="196" t="n">
        <v>1973</v>
      </c>
      <c r="B1977" s="197" t="inlineStr">
        <is>
          <t>Skoda</t>
        </is>
      </c>
      <c r="C1977" s="198" t="inlineStr">
        <is>
          <t>Rapid</t>
        </is>
      </c>
      <c r="D1977" s="199" t="inlineStr">
        <is>
          <t>Rapid Ambition</t>
        </is>
      </c>
      <c r="E1977" s="200" t="inlineStr">
        <is>
          <t>Cappuccino Beige</t>
        </is>
      </c>
    </row>
    <row r="1978" ht="15" customHeight="1">
      <c r="A1978" s="196" t="n">
        <v>1974</v>
      </c>
      <c r="B1978" s="197" t="inlineStr">
        <is>
          <t>Skoda</t>
        </is>
      </c>
      <c r="C1978" s="198" t="inlineStr">
        <is>
          <t>Rapid</t>
        </is>
      </c>
      <c r="D1978" s="199" t="inlineStr">
        <is>
          <t>Rapid Ambition</t>
        </is>
      </c>
      <c r="E1978" s="200" t="inlineStr">
        <is>
          <t>Carbon Steel</t>
        </is>
      </c>
    </row>
    <row r="1979" ht="15" customHeight="1">
      <c r="A1979" s="196" t="n">
        <v>1975</v>
      </c>
      <c r="B1979" s="197" t="inlineStr">
        <is>
          <t>Skoda</t>
        </is>
      </c>
      <c r="C1979" s="198" t="inlineStr">
        <is>
          <t>Rapid</t>
        </is>
      </c>
      <c r="D1979" s="199" t="inlineStr">
        <is>
          <t>Rapid Monte Carlo</t>
        </is>
      </c>
      <c r="E1979" s="200" t="inlineStr">
        <is>
          <t>Brilliant Silver</t>
        </is>
      </c>
    </row>
    <row r="1980" ht="15" customHeight="1">
      <c r="A1980" s="196" t="n">
        <v>1976</v>
      </c>
      <c r="B1980" s="197" t="inlineStr">
        <is>
          <t>Skoda</t>
        </is>
      </c>
      <c r="C1980" s="198" t="inlineStr">
        <is>
          <t>Rapid</t>
        </is>
      </c>
      <c r="D1980" s="199" t="inlineStr">
        <is>
          <t>Rapid Monte Carlo</t>
        </is>
      </c>
      <c r="E1980" s="200" t="inlineStr">
        <is>
          <t>Candy White</t>
        </is>
      </c>
    </row>
    <row r="1981" ht="15" customHeight="1">
      <c r="A1981" s="196" t="n">
        <v>1977</v>
      </c>
      <c r="B1981" s="197" t="inlineStr">
        <is>
          <t>Skoda</t>
        </is>
      </c>
      <c r="C1981" s="198" t="inlineStr">
        <is>
          <t>Rapid</t>
        </is>
      </c>
      <c r="D1981" s="199" t="inlineStr">
        <is>
          <t>Rapid Monte Carlo</t>
        </is>
      </c>
      <c r="E1981" s="200" t="inlineStr">
        <is>
          <t>Cappuccino Beige</t>
        </is>
      </c>
    </row>
    <row r="1982" ht="15" customHeight="1">
      <c r="A1982" s="196" t="n">
        <v>1978</v>
      </c>
      <c r="B1982" s="197" t="inlineStr">
        <is>
          <t>Skoda</t>
        </is>
      </c>
      <c r="C1982" s="198" t="inlineStr">
        <is>
          <t>Rapid</t>
        </is>
      </c>
      <c r="D1982" s="199" t="inlineStr">
        <is>
          <t>Rapid Monte Carlo</t>
        </is>
      </c>
      <c r="E1982" s="200" t="inlineStr">
        <is>
          <t>Carbon Steel</t>
        </is>
      </c>
    </row>
    <row r="1983" ht="15" customHeight="1">
      <c r="A1983" s="196" t="n">
        <v>1979</v>
      </c>
      <c r="B1983" s="197" t="inlineStr">
        <is>
          <t>Skoda</t>
        </is>
      </c>
      <c r="C1983" s="198" t="inlineStr">
        <is>
          <t>Rapid</t>
        </is>
      </c>
      <c r="D1983" s="199" t="inlineStr">
        <is>
          <t>Rapid ONYX LE</t>
        </is>
      </c>
      <c r="E1983" s="200" t="inlineStr">
        <is>
          <t>Lapiz Blue</t>
        </is>
      </c>
    </row>
    <row r="1984" ht="15" customHeight="1">
      <c r="A1984" s="196" t="n">
        <v>1980</v>
      </c>
      <c r="B1984" s="197" t="inlineStr">
        <is>
          <t>Skoda</t>
        </is>
      </c>
      <c r="C1984" s="198" t="inlineStr">
        <is>
          <t>Rapid</t>
        </is>
      </c>
      <c r="D1984" s="199" t="inlineStr">
        <is>
          <t>Rapid Rider</t>
        </is>
      </c>
      <c r="E1984" s="200" t="inlineStr">
        <is>
          <t>Brilliant Silver</t>
        </is>
      </c>
    </row>
    <row r="1985" ht="15" customHeight="1">
      <c r="A1985" s="196" t="n">
        <v>1981</v>
      </c>
      <c r="B1985" s="197" t="inlineStr">
        <is>
          <t>Skoda</t>
        </is>
      </c>
      <c r="C1985" s="198" t="inlineStr">
        <is>
          <t>Rapid</t>
        </is>
      </c>
      <c r="D1985" s="199" t="inlineStr">
        <is>
          <t>Rapid Rider</t>
        </is>
      </c>
      <c r="E1985" s="200" t="inlineStr">
        <is>
          <t>Candy White</t>
        </is>
      </c>
    </row>
    <row r="1986" ht="15" customHeight="1">
      <c r="A1986" s="196" t="n">
        <v>1982</v>
      </c>
      <c r="B1986" s="197" t="inlineStr">
        <is>
          <t>Skoda</t>
        </is>
      </c>
      <c r="C1986" s="198" t="inlineStr">
        <is>
          <t>Rapid</t>
        </is>
      </c>
      <c r="D1986" s="199" t="inlineStr">
        <is>
          <t>Rapid Rider</t>
        </is>
      </c>
      <c r="E1986" s="200" t="inlineStr">
        <is>
          <t>Cappuccino Beige</t>
        </is>
      </c>
    </row>
    <row r="1987" ht="15" customHeight="1">
      <c r="A1987" s="196" t="n">
        <v>1983</v>
      </c>
      <c r="B1987" s="197" t="inlineStr">
        <is>
          <t>Skoda</t>
        </is>
      </c>
      <c r="C1987" s="198" t="inlineStr">
        <is>
          <t>Rapid</t>
        </is>
      </c>
      <c r="D1987" s="199" t="inlineStr">
        <is>
          <t>Rapid Rider</t>
        </is>
      </c>
      <c r="E1987" s="200" t="inlineStr">
        <is>
          <t>Carbon Steel</t>
        </is>
      </c>
    </row>
    <row r="1988" ht="15" customHeight="1">
      <c r="A1988" s="196" t="n">
        <v>1984</v>
      </c>
      <c r="B1988" s="197" t="inlineStr">
        <is>
          <t>Skoda</t>
        </is>
      </c>
      <c r="C1988" s="198" t="inlineStr">
        <is>
          <t>Slavia</t>
        </is>
      </c>
      <c r="D1988" s="199" t="inlineStr">
        <is>
          <t>Slavia Classic</t>
        </is>
      </c>
      <c r="E1988" s="200" t="inlineStr">
        <is>
          <t>Brilliant Silver</t>
        </is>
      </c>
    </row>
    <row r="1989" ht="15" customHeight="1">
      <c r="A1989" s="196" t="n">
        <v>1985</v>
      </c>
      <c r="B1989" s="197" t="inlineStr">
        <is>
          <t>Skoda</t>
        </is>
      </c>
      <c r="C1989" s="198" t="inlineStr">
        <is>
          <t>Slavia</t>
        </is>
      </c>
      <c r="D1989" s="199" t="inlineStr">
        <is>
          <t>Slavia Classic</t>
        </is>
      </c>
      <c r="E1989" s="200" t="inlineStr">
        <is>
          <t>Carbon Steel</t>
        </is>
      </c>
    </row>
    <row r="1990" ht="15" customHeight="1">
      <c r="A1990" s="196" t="n">
        <v>1986</v>
      </c>
      <c r="B1990" s="197" t="inlineStr">
        <is>
          <t>Skoda</t>
        </is>
      </c>
      <c r="C1990" s="198" t="inlineStr">
        <is>
          <t>Slavia</t>
        </is>
      </c>
      <c r="D1990" s="199" t="inlineStr">
        <is>
          <t>Slavia Monte Carlo</t>
        </is>
      </c>
      <c r="E1990" s="200" t="inlineStr">
        <is>
          <t>Carbon Steel</t>
        </is>
      </c>
    </row>
    <row r="1991" ht="15" customHeight="1">
      <c r="A1991" s="196" t="n">
        <v>1987</v>
      </c>
      <c r="B1991" s="197" t="inlineStr">
        <is>
          <t>Skoda</t>
        </is>
      </c>
      <c r="C1991" s="198" t="inlineStr">
        <is>
          <t>Slavia</t>
        </is>
      </c>
      <c r="D1991" s="199" t="inlineStr">
        <is>
          <t>Slavia Prestige</t>
        </is>
      </c>
      <c r="E1991" s="200" t="inlineStr">
        <is>
          <t>Brilliant Silver</t>
        </is>
      </c>
    </row>
    <row r="1992" ht="15" customHeight="1">
      <c r="A1992" s="196" t="n">
        <v>1988</v>
      </c>
      <c r="B1992" s="197" t="inlineStr">
        <is>
          <t>Skoda</t>
        </is>
      </c>
      <c r="C1992" s="198" t="inlineStr">
        <is>
          <t>Slavia</t>
        </is>
      </c>
      <c r="D1992" s="199" t="inlineStr">
        <is>
          <t>Slavia Prestige</t>
        </is>
      </c>
      <c r="E1992" s="200" t="inlineStr">
        <is>
          <t>Carbon Steel</t>
        </is>
      </c>
    </row>
    <row r="1993" ht="15" customHeight="1">
      <c r="A1993" s="196" t="n">
        <v>1989</v>
      </c>
      <c r="B1993" s="197" t="inlineStr">
        <is>
          <t>Skoda</t>
        </is>
      </c>
      <c r="C1993" s="198" t="inlineStr">
        <is>
          <t>Slavia</t>
        </is>
      </c>
      <c r="D1993" s="199" t="inlineStr">
        <is>
          <t>Slavia Prestige</t>
        </is>
      </c>
      <c r="E1993" s="200" t="inlineStr">
        <is>
          <t>Deep Black</t>
        </is>
      </c>
    </row>
    <row r="1994" ht="15" customHeight="1">
      <c r="A1994" s="196" t="n">
        <v>1990</v>
      </c>
      <c r="B1994" s="197" t="inlineStr">
        <is>
          <t>Skoda</t>
        </is>
      </c>
      <c r="C1994" s="198" t="inlineStr">
        <is>
          <t>Slavia</t>
        </is>
      </c>
      <c r="D1994" s="199" t="inlineStr">
        <is>
          <t>Slavia Prestige</t>
        </is>
      </c>
      <c r="E1994" s="200" t="inlineStr">
        <is>
          <t>Lava Blue</t>
        </is>
      </c>
    </row>
    <row r="1995" ht="15" customHeight="1">
      <c r="A1995" s="196" t="n">
        <v>1991</v>
      </c>
      <c r="B1995" s="197" t="inlineStr">
        <is>
          <t>Skoda</t>
        </is>
      </c>
      <c r="C1995" s="198" t="inlineStr">
        <is>
          <t>Slavia</t>
        </is>
      </c>
      <c r="D1995" s="199" t="inlineStr">
        <is>
          <t>Slavia Signature</t>
        </is>
      </c>
      <c r="E1995" s="200" t="inlineStr">
        <is>
          <t>Brilliant Silver</t>
        </is>
      </c>
    </row>
    <row r="1996" ht="15" customHeight="1">
      <c r="A1996" s="196" t="n">
        <v>1992</v>
      </c>
      <c r="B1996" s="197" t="inlineStr">
        <is>
          <t>Skoda</t>
        </is>
      </c>
      <c r="C1996" s="198" t="inlineStr">
        <is>
          <t>Slavia</t>
        </is>
      </c>
      <c r="D1996" s="199" t="inlineStr">
        <is>
          <t>Slavia Signature</t>
        </is>
      </c>
      <c r="E1996" s="200" t="inlineStr">
        <is>
          <t>Carbon Steel</t>
        </is>
      </c>
    </row>
    <row r="1997" ht="15" customHeight="1">
      <c r="A1997" s="196" t="n">
        <v>1993</v>
      </c>
      <c r="B1997" s="197" t="inlineStr">
        <is>
          <t>Skoda</t>
        </is>
      </c>
      <c r="C1997" s="198" t="inlineStr">
        <is>
          <t>Slavia</t>
        </is>
      </c>
      <c r="D1997" s="199" t="inlineStr">
        <is>
          <t>Slavia Signature</t>
        </is>
      </c>
      <c r="E1997" s="200" t="inlineStr">
        <is>
          <t>Deep Black</t>
        </is>
      </c>
    </row>
    <row r="1998" ht="15" customHeight="1">
      <c r="A1998" s="196" t="n">
        <v>1994</v>
      </c>
      <c r="B1998" s="197" t="inlineStr">
        <is>
          <t>Skoda</t>
        </is>
      </c>
      <c r="C1998" s="198" t="inlineStr">
        <is>
          <t>Slavia</t>
        </is>
      </c>
      <c r="D1998" s="199" t="inlineStr">
        <is>
          <t>Slavia Signature</t>
        </is>
      </c>
      <c r="E1998" s="200" t="inlineStr">
        <is>
          <t>Lava Blue</t>
        </is>
      </c>
    </row>
    <row r="1999" ht="15" customHeight="1">
      <c r="A1999" s="196" t="n">
        <v>1995</v>
      </c>
      <c r="B1999" s="197" t="inlineStr">
        <is>
          <t>Skoda</t>
        </is>
      </c>
      <c r="C1999" s="198" t="inlineStr">
        <is>
          <t>Slavia</t>
        </is>
      </c>
      <c r="D1999" s="199" t="inlineStr">
        <is>
          <t>Slavia Sportline</t>
        </is>
      </c>
      <c r="E1999" s="200" t="inlineStr">
        <is>
          <t>Brilliant Silver</t>
        </is>
      </c>
    </row>
    <row r="2000" ht="15" customHeight="1">
      <c r="A2000" s="196" t="n">
        <v>1996</v>
      </c>
      <c r="B2000" s="197" t="inlineStr">
        <is>
          <t>Skoda</t>
        </is>
      </c>
      <c r="C2000" s="198" t="inlineStr">
        <is>
          <t>Slavia</t>
        </is>
      </c>
      <c r="D2000" s="199" t="inlineStr">
        <is>
          <t>Slavia Sportline</t>
        </is>
      </c>
      <c r="E2000" s="200" t="inlineStr">
        <is>
          <t>Carbon Steel</t>
        </is>
      </c>
    </row>
    <row r="2001" ht="15" customHeight="1">
      <c r="A2001" s="231" t="n">
        <v>1997</v>
      </c>
      <c r="B2001" s="232" t="inlineStr">
        <is>
          <t>Tata</t>
        </is>
      </c>
      <c r="C2001" s="233" t="inlineStr">
        <is>
          <t>Curvv</t>
        </is>
      </c>
      <c r="D2001" s="234" t="inlineStr">
        <is>
          <t>Curvv Accomplished Plus A</t>
        </is>
      </c>
      <c r="E2001" s="235" t="inlineStr">
        <is>
          <t>Flame Red With Black Roof</t>
        </is>
      </c>
    </row>
    <row r="2002" ht="15" customHeight="1">
      <c r="A2002" s="231" t="n">
        <v>1998</v>
      </c>
      <c r="B2002" s="232" t="inlineStr">
        <is>
          <t>Tata</t>
        </is>
      </c>
      <c r="C2002" s="233" t="inlineStr">
        <is>
          <t>Curvv</t>
        </is>
      </c>
      <c r="D2002" s="234" t="inlineStr">
        <is>
          <t>Curvv Accomplished Plus A</t>
        </is>
      </c>
      <c r="E2002" s="235" t="inlineStr">
        <is>
          <t>Gold Essence With Black Roof</t>
        </is>
      </c>
    </row>
    <row r="2003" ht="15" customHeight="1">
      <c r="A2003" s="231" t="n">
        <v>1999</v>
      </c>
      <c r="B2003" s="232" t="inlineStr">
        <is>
          <t>Tata</t>
        </is>
      </c>
      <c r="C2003" s="233" t="inlineStr">
        <is>
          <t>Curvv</t>
        </is>
      </c>
      <c r="D2003" s="234" t="inlineStr">
        <is>
          <t>Curvv Accomplished Plus A</t>
        </is>
      </c>
      <c r="E2003" s="235" t="inlineStr">
        <is>
          <t>Opera Blue With Black Roof</t>
        </is>
      </c>
    </row>
    <row r="2004" ht="15" customHeight="1">
      <c r="A2004" s="231" t="n">
        <v>2000</v>
      </c>
      <c r="B2004" s="232" t="inlineStr">
        <is>
          <t>Tata</t>
        </is>
      </c>
      <c r="C2004" s="233" t="inlineStr">
        <is>
          <t>Curvv</t>
        </is>
      </c>
      <c r="D2004" s="234" t="inlineStr">
        <is>
          <t>Curvv Accomplished Plus A</t>
        </is>
      </c>
      <c r="E2004" s="235" t="inlineStr">
        <is>
          <t>Pristine White With Black Roof</t>
        </is>
      </c>
    </row>
    <row r="2005" ht="15" customHeight="1">
      <c r="A2005" s="231" t="n">
        <v>2001</v>
      </c>
      <c r="B2005" s="232" t="inlineStr">
        <is>
          <t>Tata</t>
        </is>
      </c>
      <c r="C2005" s="233" t="inlineStr">
        <is>
          <t>Curvv</t>
        </is>
      </c>
      <c r="D2005" s="234" t="inlineStr">
        <is>
          <t>Curvv Accomplished Plus A</t>
        </is>
      </c>
      <c r="E2005" s="235" t="inlineStr">
        <is>
          <t>Pure Grey With Black Roof</t>
        </is>
      </c>
    </row>
    <row r="2006" ht="15" customHeight="1">
      <c r="A2006" s="231" t="n">
        <v>2002</v>
      </c>
      <c r="B2006" s="232" t="inlineStr">
        <is>
          <t>Tata</t>
        </is>
      </c>
      <c r="C2006" s="233" t="inlineStr">
        <is>
          <t>Curvv</t>
        </is>
      </c>
      <c r="D2006" s="234" t="inlineStr">
        <is>
          <t>Curvv Accomplished S</t>
        </is>
      </c>
      <c r="E2006" s="235" t="inlineStr">
        <is>
          <t>Flame Red With Black Roof</t>
        </is>
      </c>
    </row>
    <row r="2007" ht="15" customHeight="1">
      <c r="A2007" s="231" t="n">
        <v>2003</v>
      </c>
      <c r="B2007" s="232" t="inlineStr">
        <is>
          <t>Tata</t>
        </is>
      </c>
      <c r="C2007" s="233" t="inlineStr">
        <is>
          <t>Curvv</t>
        </is>
      </c>
      <c r="D2007" s="234" t="inlineStr">
        <is>
          <t>Curvv Accomplished S</t>
        </is>
      </c>
      <c r="E2007" s="235" t="inlineStr">
        <is>
          <t>Gold Essence With Black Roof</t>
        </is>
      </c>
    </row>
    <row r="2008" ht="15" customHeight="1">
      <c r="A2008" s="231" t="n">
        <v>2004</v>
      </c>
      <c r="B2008" s="232" t="inlineStr">
        <is>
          <t>Tata</t>
        </is>
      </c>
      <c r="C2008" s="233" t="inlineStr">
        <is>
          <t>Curvv</t>
        </is>
      </c>
      <c r="D2008" s="234" t="inlineStr">
        <is>
          <t>Curvv Accomplished S</t>
        </is>
      </c>
      <c r="E2008" s="235" t="inlineStr">
        <is>
          <t>Opera Blue With Black Roof</t>
        </is>
      </c>
    </row>
    <row r="2009" ht="15" customHeight="1">
      <c r="A2009" s="231" t="n">
        <v>2005</v>
      </c>
      <c r="B2009" s="232" t="inlineStr">
        <is>
          <t>Tata</t>
        </is>
      </c>
      <c r="C2009" s="233" t="inlineStr">
        <is>
          <t>Curvv</t>
        </is>
      </c>
      <c r="D2009" s="234" t="inlineStr">
        <is>
          <t>Curvv Accomplished S</t>
        </is>
      </c>
      <c r="E2009" s="235" t="inlineStr">
        <is>
          <t>Pristine White With Black Roof</t>
        </is>
      </c>
    </row>
    <row r="2010" ht="15" customHeight="1">
      <c r="A2010" s="231" t="n">
        <v>2006</v>
      </c>
      <c r="B2010" s="232" t="inlineStr">
        <is>
          <t>Tata</t>
        </is>
      </c>
      <c r="C2010" s="233" t="inlineStr">
        <is>
          <t>Curvv</t>
        </is>
      </c>
      <c r="D2010" s="234" t="inlineStr">
        <is>
          <t>Curvv Accomplished S</t>
        </is>
      </c>
      <c r="E2010" s="235" t="inlineStr">
        <is>
          <t>Pure Grey With Black Roof</t>
        </is>
      </c>
    </row>
    <row r="2011" ht="15" customHeight="1">
      <c r="A2011" s="231" t="n">
        <v>2007</v>
      </c>
      <c r="B2011" s="232" t="inlineStr">
        <is>
          <t>Tata</t>
        </is>
      </c>
      <c r="C2011" s="233" t="inlineStr">
        <is>
          <t>Curvv</t>
        </is>
      </c>
      <c r="D2011" s="234" t="inlineStr">
        <is>
          <t>Curvv Creative</t>
        </is>
      </c>
      <c r="E2011" s="235" t="inlineStr">
        <is>
          <t>Daytona Grey</t>
        </is>
      </c>
    </row>
    <row r="2012" ht="15" customHeight="1">
      <c r="A2012" s="231" t="n">
        <v>2008</v>
      </c>
      <c r="B2012" s="232" t="inlineStr">
        <is>
          <t>Tata</t>
        </is>
      </c>
      <c r="C2012" s="233" t="inlineStr">
        <is>
          <t>Curvv</t>
        </is>
      </c>
      <c r="D2012" s="234" t="inlineStr">
        <is>
          <t>Curvv Creative</t>
        </is>
      </c>
      <c r="E2012" s="235" t="inlineStr">
        <is>
          <t>Flame Red</t>
        </is>
      </c>
    </row>
    <row r="2013" ht="15" customHeight="1">
      <c r="A2013" s="231" t="n">
        <v>2009</v>
      </c>
      <c r="B2013" s="232" t="inlineStr">
        <is>
          <t>Tata</t>
        </is>
      </c>
      <c r="C2013" s="233" t="inlineStr">
        <is>
          <t>Curvv</t>
        </is>
      </c>
      <c r="D2013" s="234" t="inlineStr">
        <is>
          <t>Curvv Creative</t>
        </is>
      </c>
      <c r="E2013" s="235" t="inlineStr">
        <is>
          <t>Opera Blue</t>
        </is>
      </c>
    </row>
    <row r="2014" ht="15" customHeight="1">
      <c r="A2014" s="231" t="n">
        <v>2010</v>
      </c>
      <c r="B2014" s="232" t="inlineStr">
        <is>
          <t>Tata</t>
        </is>
      </c>
      <c r="C2014" s="233" t="inlineStr">
        <is>
          <t>Curvv</t>
        </is>
      </c>
      <c r="D2014" s="234" t="inlineStr">
        <is>
          <t>Curvv Creative</t>
        </is>
      </c>
      <c r="E2014" s="235" t="inlineStr">
        <is>
          <t>Pristine White</t>
        </is>
      </c>
    </row>
    <row r="2015" ht="15" customHeight="1">
      <c r="A2015" s="231" t="n">
        <v>2011</v>
      </c>
      <c r="B2015" s="232" t="inlineStr">
        <is>
          <t>Tata</t>
        </is>
      </c>
      <c r="C2015" s="233" t="inlineStr">
        <is>
          <t>Curvv</t>
        </is>
      </c>
      <c r="D2015" s="234" t="inlineStr">
        <is>
          <t>Curvv Creative Plus S</t>
        </is>
      </c>
      <c r="E2015" s="235" t="inlineStr">
        <is>
          <t>Flame Red With Black Roof</t>
        </is>
      </c>
    </row>
    <row r="2016" ht="15" customHeight="1">
      <c r="A2016" s="231" t="n">
        <v>2012</v>
      </c>
      <c r="B2016" s="232" t="inlineStr">
        <is>
          <t>Tata</t>
        </is>
      </c>
      <c r="C2016" s="233" t="inlineStr">
        <is>
          <t>Curvv</t>
        </is>
      </c>
      <c r="D2016" s="234" t="inlineStr">
        <is>
          <t>Curvv Creative Plus S</t>
        </is>
      </c>
      <c r="E2016" s="235" t="inlineStr">
        <is>
          <t>Opera Blue With Black Roof</t>
        </is>
      </c>
    </row>
    <row r="2017" ht="15" customHeight="1">
      <c r="A2017" s="231" t="n">
        <v>2013</v>
      </c>
      <c r="B2017" s="232" t="inlineStr">
        <is>
          <t>Tata</t>
        </is>
      </c>
      <c r="C2017" s="233" t="inlineStr">
        <is>
          <t>Curvv</t>
        </is>
      </c>
      <c r="D2017" s="234" t="inlineStr">
        <is>
          <t>Curvv Creative Plus S</t>
        </is>
      </c>
      <c r="E2017" s="235" t="inlineStr">
        <is>
          <t>Pristine White With Black Roof</t>
        </is>
      </c>
    </row>
    <row r="2018" ht="15" customHeight="1">
      <c r="A2018" s="231" t="n">
        <v>2014</v>
      </c>
      <c r="B2018" s="232" t="inlineStr">
        <is>
          <t>Tata</t>
        </is>
      </c>
      <c r="C2018" s="233" t="inlineStr">
        <is>
          <t>Curvv</t>
        </is>
      </c>
      <c r="D2018" s="234" t="inlineStr">
        <is>
          <t>Curvv Creative Plus S</t>
        </is>
      </c>
      <c r="E2018" s="235" t="inlineStr">
        <is>
          <t>Pure Grey With Black Roof</t>
        </is>
      </c>
    </row>
    <row r="2019" ht="15" customHeight="1">
      <c r="A2019" s="231" t="n">
        <v>2015</v>
      </c>
      <c r="B2019" s="232" t="inlineStr">
        <is>
          <t>Tata</t>
        </is>
      </c>
      <c r="C2019" s="233" t="inlineStr">
        <is>
          <t>Curvv</t>
        </is>
      </c>
      <c r="D2019" s="234" t="inlineStr">
        <is>
          <t>Curvv Creative S</t>
        </is>
      </c>
      <c r="E2019" s="235" t="inlineStr">
        <is>
          <t>Daytona Grey</t>
        </is>
      </c>
    </row>
    <row r="2020" ht="15" customHeight="1">
      <c r="A2020" s="231" t="n">
        <v>2016</v>
      </c>
      <c r="B2020" s="232" t="inlineStr">
        <is>
          <t>Tata</t>
        </is>
      </c>
      <c r="C2020" s="233" t="inlineStr">
        <is>
          <t>Curvv</t>
        </is>
      </c>
      <c r="D2020" s="234" t="inlineStr">
        <is>
          <t>Curvv Creative S</t>
        </is>
      </c>
      <c r="E2020" s="235" t="inlineStr">
        <is>
          <t>Flame Red</t>
        </is>
      </c>
    </row>
    <row r="2021" ht="15" customHeight="1">
      <c r="A2021" s="231" t="n">
        <v>2017</v>
      </c>
      <c r="B2021" s="232" t="inlineStr">
        <is>
          <t>Tata</t>
        </is>
      </c>
      <c r="C2021" s="233" t="inlineStr">
        <is>
          <t>Curvv</t>
        </is>
      </c>
      <c r="D2021" s="234" t="inlineStr">
        <is>
          <t>Curvv Creative S</t>
        </is>
      </c>
      <c r="E2021" s="235" t="inlineStr">
        <is>
          <t>Opera Blue</t>
        </is>
      </c>
    </row>
    <row r="2022" ht="15" customHeight="1">
      <c r="A2022" s="231" t="n">
        <v>2018</v>
      </c>
      <c r="B2022" s="232" t="inlineStr">
        <is>
          <t>Tata</t>
        </is>
      </c>
      <c r="C2022" s="233" t="inlineStr">
        <is>
          <t>Curvv</t>
        </is>
      </c>
      <c r="D2022" s="234" t="inlineStr">
        <is>
          <t>Curvv Creative S</t>
        </is>
      </c>
      <c r="E2022" s="235" t="inlineStr">
        <is>
          <t>Pristine White</t>
        </is>
      </c>
    </row>
    <row r="2023" ht="15" customHeight="1">
      <c r="A2023" s="231" t="n">
        <v>2019</v>
      </c>
      <c r="B2023" s="232" t="inlineStr">
        <is>
          <t>Tata</t>
        </is>
      </c>
      <c r="C2023" s="233" t="inlineStr">
        <is>
          <t>Curvv</t>
        </is>
      </c>
      <c r="D2023" s="234" t="inlineStr">
        <is>
          <t>Curvv Pure Plus</t>
        </is>
      </c>
      <c r="E2023" s="235" t="inlineStr">
        <is>
          <t>Daytona Grey</t>
        </is>
      </c>
    </row>
    <row r="2024" ht="15" customHeight="1">
      <c r="A2024" s="231" t="n">
        <v>2020</v>
      </c>
      <c r="B2024" s="232" t="inlineStr">
        <is>
          <t>Tata</t>
        </is>
      </c>
      <c r="C2024" s="233" t="inlineStr">
        <is>
          <t>Curvv</t>
        </is>
      </c>
      <c r="D2024" s="234" t="inlineStr">
        <is>
          <t>Curvv Pure Plus</t>
        </is>
      </c>
      <c r="E2024" s="235" t="inlineStr">
        <is>
          <t>Flame Red</t>
        </is>
      </c>
    </row>
    <row r="2025" ht="15" customHeight="1">
      <c r="A2025" s="231" t="n">
        <v>2021</v>
      </c>
      <c r="B2025" s="232" t="inlineStr">
        <is>
          <t>Tata</t>
        </is>
      </c>
      <c r="C2025" s="233" t="inlineStr">
        <is>
          <t>Curvv</t>
        </is>
      </c>
      <c r="D2025" s="234" t="inlineStr">
        <is>
          <t>Curvv Pure Plus</t>
        </is>
      </c>
      <c r="E2025" s="235" t="inlineStr">
        <is>
          <t>Opera Blue</t>
        </is>
      </c>
    </row>
    <row r="2026" ht="15" customHeight="1">
      <c r="A2026" s="231" t="n">
        <v>2022</v>
      </c>
      <c r="B2026" s="232" t="inlineStr">
        <is>
          <t>Tata</t>
        </is>
      </c>
      <c r="C2026" s="233" t="inlineStr">
        <is>
          <t>Curvv</t>
        </is>
      </c>
      <c r="D2026" s="234" t="inlineStr">
        <is>
          <t>Curvv Pure Plus</t>
        </is>
      </c>
      <c r="E2026" s="235" t="inlineStr">
        <is>
          <t>Pristine White</t>
        </is>
      </c>
    </row>
    <row r="2027" ht="15" customHeight="1">
      <c r="A2027" s="231" t="n">
        <v>2023</v>
      </c>
      <c r="B2027" s="232" t="inlineStr">
        <is>
          <t>Tata</t>
        </is>
      </c>
      <c r="C2027" s="233" t="inlineStr">
        <is>
          <t>Curvv</t>
        </is>
      </c>
      <c r="D2027" s="234" t="inlineStr">
        <is>
          <t>Curvv Pure Plus S</t>
        </is>
      </c>
      <c r="E2027" s="235" t="inlineStr">
        <is>
          <t>Daytona Grey</t>
        </is>
      </c>
    </row>
    <row r="2028" ht="15" customHeight="1">
      <c r="A2028" s="231" t="n">
        <v>2024</v>
      </c>
      <c r="B2028" s="232" t="inlineStr">
        <is>
          <t>Tata</t>
        </is>
      </c>
      <c r="C2028" s="233" t="inlineStr">
        <is>
          <t>Curvv</t>
        </is>
      </c>
      <c r="D2028" s="234" t="inlineStr">
        <is>
          <t>Curvv Pure Plus S</t>
        </is>
      </c>
      <c r="E2028" s="235" t="inlineStr">
        <is>
          <t>Flame Red</t>
        </is>
      </c>
    </row>
    <row r="2029" ht="15" customHeight="1">
      <c r="A2029" s="231" t="n">
        <v>2025</v>
      </c>
      <c r="B2029" s="232" t="inlineStr">
        <is>
          <t>Tata</t>
        </is>
      </c>
      <c r="C2029" s="233" t="inlineStr">
        <is>
          <t>Curvv</t>
        </is>
      </c>
      <c r="D2029" s="234" t="inlineStr">
        <is>
          <t>Curvv Pure Plus S</t>
        </is>
      </c>
      <c r="E2029" s="235" t="inlineStr">
        <is>
          <t>Opera Blue</t>
        </is>
      </c>
    </row>
    <row r="2030" ht="15" customHeight="1">
      <c r="A2030" s="231" t="n">
        <v>2026</v>
      </c>
      <c r="B2030" s="232" t="inlineStr">
        <is>
          <t>Tata</t>
        </is>
      </c>
      <c r="C2030" s="233" t="inlineStr">
        <is>
          <t>Curvv</t>
        </is>
      </c>
      <c r="D2030" s="234" t="inlineStr">
        <is>
          <t>Curvv Pure Plus S</t>
        </is>
      </c>
      <c r="E2030" s="235" t="inlineStr">
        <is>
          <t>Pristine White</t>
        </is>
      </c>
    </row>
    <row r="2031" ht="15" customHeight="1">
      <c r="A2031" s="231" t="n">
        <v>2027</v>
      </c>
      <c r="B2031" s="232" t="inlineStr">
        <is>
          <t>Tata</t>
        </is>
      </c>
      <c r="C2031" s="233" t="inlineStr">
        <is>
          <t>Curvv</t>
        </is>
      </c>
      <c r="D2031" s="234" t="inlineStr">
        <is>
          <t>Curvv Smart</t>
        </is>
      </c>
      <c r="E2031" s="235" t="inlineStr">
        <is>
          <t>Daytona Grey</t>
        </is>
      </c>
    </row>
    <row r="2032" ht="15" customHeight="1">
      <c r="A2032" s="231" t="n">
        <v>2028</v>
      </c>
      <c r="B2032" s="232" t="inlineStr">
        <is>
          <t>Tata</t>
        </is>
      </c>
      <c r="C2032" s="233" t="inlineStr">
        <is>
          <t>Curvv</t>
        </is>
      </c>
      <c r="D2032" s="234" t="inlineStr">
        <is>
          <t>Curvv Smart</t>
        </is>
      </c>
      <c r="E2032" s="235" t="inlineStr">
        <is>
          <t>Pristine White</t>
        </is>
      </c>
    </row>
    <row r="2033" ht="15" customHeight="1">
      <c r="A2033" s="231" t="n">
        <v>2029</v>
      </c>
      <c r="B2033" s="232" t="inlineStr">
        <is>
          <t>Tata</t>
        </is>
      </c>
      <c r="C2033" s="233" t="inlineStr">
        <is>
          <t>Harrier</t>
        </is>
      </c>
      <c r="D2033" s="234" t="inlineStr">
        <is>
          <t>Harrier Adventure X</t>
        </is>
      </c>
      <c r="E2033" s="235" t="inlineStr">
        <is>
          <t>Daytona Grey</t>
        </is>
      </c>
    </row>
    <row r="2034" ht="15" customHeight="1">
      <c r="A2034" s="231" t="n">
        <v>2030</v>
      </c>
      <c r="B2034" s="232" t="inlineStr">
        <is>
          <t>Tata</t>
        </is>
      </c>
      <c r="C2034" s="233" t="inlineStr">
        <is>
          <t>Harrier</t>
        </is>
      </c>
      <c r="D2034" s="234" t="inlineStr">
        <is>
          <t>Harrier Adventure X</t>
        </is>
      </c>
      <c r="E2034" s="235" t="inlineStr">
        <is>
          <t>Fearless Red</t>
        </is>
      </c>
    </row>
    <row r="2035" ht="15" customHeight="1">
      <c r="A2035" s="231" t="n">
        <v>2031</v>
      </c>
      <c r="B2035" s="232" t="inlineStr">
        <is>
          <t>Tata</t>
        </is>
      </c>
      <c r="C2035" s="233" t="inlineStr">
        <is>
          <t>Harrier</t>
        </is>
      </c>
      <c r="D2035" s="234" t="inlineStr">
        <is>
          <t>Harrier Adventure X</t>
        </is>
      </c>
      <c r="E2035" s="235" t="inlineStr">
        <is>
          <t>Pristine White</t>
        </is>
      </c>
    </row>
    <row r="2036" ht="15" customHeight="1">
      <c r="A2036" s="231" t="n">
        <v>2032</v>
      </c>
      <c r="B2036" s="232" t="inlineStr">
        <is>
          <t>Tata</t>
        </is>
      </c>
      <c r="C2036" s="233" t="inlineStr">
        <is>
          <t>Harrier</t>
        </is>
      </c>
      <c r="D2036" s="234" t="inlineStr">
        <is>
          <t>Harrier Adventure X</t>
        </is>
      </c>
      <c r="E2036" s="235" t="inlineStr">
        <is>
          <t>Pure Grey</t>
        </is>
      </c>
    </row>
    <row r="2037" ht="15" customHeight="1">
      <c r="A2037" s="231" t="n">
        <v>2033</v>
      </c>
      <c r="B2037" s="232" t="inlineStr">
        <is>
          <t>Tata</t>
        </is>
      </c>
      <c r="C2037" s="233" t="inlineStr">
        <is>
          <t>Harrier</t>
        </is>
      </c>
      <c r="D2037" s="234" t="inlineStr">
        <is>
          <t>Harrier Adventure X</t>
        </is>
      </c>
      <c r="E2037" s="235" t="inlineStr">
        <is>
          <t>Seaweed Green</t>
        </is>
      </c>
    </row>
    <row r="2038" ht="15" customHeight="1">
      <c r="A2038" s="231" t="n">
        <v>2034</v>
      </c>
      <c r="B2038" s="232" t="inlineStr">
        <is>
          <t>Tata</t>
        </is>
      </c>
      <c r="C2038" s="233" t="inlineStr">
        <is>
          <t>Harrier</t>
        </is>
      </c>
      <c r="D2038" s="234" t="inlineStr">
        <is>
          <t>Harrier Adventure X Dark Edition</t>
        </is>
      </c>
      <c r="E2038" s="235" t="inlineStr">
        <is>
          <t>Carbon Black</t>
        </is>
      </c>
    </row>
    <row r="2039" ht="15" customHeight="1">
      <c r="A2039" s="231" t="n">
        <v>2035</v>
      </c>
      <c r="B2039" s="232" t="inlineStr">
        <is>
          <t>Tata</t>
        </is>
      </c>
      <c r="C2039" s="233" t="inlineStr">
        <is>
          <t>Harrier</t>
        </is>
      </c>
      <c r="D2039" s="234" t="inlineStr">
        <is>
          <t>Harrier Adventure X Plus</t>
        </is>
      </c>
      <c r="E2039" s="235" t="inlineStr">
        <is>
          <t>Daytona Grey</t>
        </is>
      </c>
    </row>
    <row r="2040" ht="15" customHeight="1">
      <c r="A2040" s="231" t="n">
        <v>2036</v>
      </c>
      <c r="B2040" s="232" t="inlineStr">
        <is>
          <t>Tata</t>
        </is>
      </c>
      <c r="C2040" s="233" t="inlineStr">
        <is>
          <t>Harrier</t>
        </is>
      </c>
      <c r="D2040" s="234" t="inlineStr">
        <is>
          <t>Harrier Adventure X Plus</t>
        </is>
      </c>
      <c r="E2040" s="235" t="inlineStr">
        <is>
          <t>Fearless Red</t>
        </is>
      </c>
    </row>
    <row r="2041" ht="15" customHeight="1">
      <c r="A2041" s="231" t="n">
        <v>2037</v>
      </c>
      <c r="B2041" s="232" t="inlineStr">
        <is>
          <t>Tata</t>
        </is>
      </c>
      <c r="C2041" s="233" t="inlineStr">
        <is>
          <t>Harrier</t>
        </is>
      </c>
      <c r="D2041" s="234" t="inlineStr">
        <is>
          <t>Harrier Adventure X Plus</t>
        </is>
      </c>
      <c r="E2041" s="235" t="inlineStr">
        <is>
          <t>Pristine White</t>
        </is>
      </c>
    </row>
    <row r="2042" ht="15" customHeight="1">
      <c r="A2042" s="231" t="n">
        <v>2038</v>
      </c>
      <c r="B2042" s="232" t="inlineStr">
        <is>
          <t>Tata</t>
        </is>
      </c>
      <c r="C2042" s="233" t="inlineStr">
        <is>
          <t>Harrier</t>
        </is>
      </c>
      <c r="D2042" s="234" t="inlineStr">
        <is>
          <t>Harrier Adventure X Plus</t>
        </is>
      </c>
      <c r="E2042" s="235" t="inlineStr">
        <is>
          <t>Pure Grey</t>
        </is>
      </c>
    </row>
    <row r="2043" ht="15" customHeight="1">
      <c r="A2043" s="231" t="n">
        <v>2039</v>
      </c>
      <c r="B2043" s="232" t="inlineStr">
        <is>
          <t>Tata</t>
        </is>
      </c>
      <c r="C2043" s="233" t="inlineStr">
        <is>
          <t>Harrier</t>
        </is>
      </c>
      <c r="D2043" s="234" t="inlineStr">
        <is>
          <t>Harrier Adventure X Plus Dark Edition</t>
        </is>
      </c>
      <c r="E2043" s="235" t="inlineStr">
        <is>
          <t>Carbon Black</t>
        </is>
      </c>
    </row>
    <row r="2044" ht="15" customHeight="1">
      <c r="A2044" s="231" t="n">
        <v>2040</v>
      </c>
      <c r="B2044" s="232" t="inlineStr">
        <is>
          <t>Tata</t>
        </is>
      </c>
      <c r="C2044" s="233" t="inlineStr">
        <is>
          <t>Harrier</t>
        </is>
      </c>
      <c r="D2044" s="234" t="inlineStr">
        <is>
          <t>Harrier Fearless Plus Dark Edition</t>
        </is>
      </c>
      <c r="E2044" s="235" t="inlineStr">
        <is>
          <t>Carbon Black</t>
        </is>
      </c>
    </row>
    <row r="2045" ht="15" customHeight="1">
      <c r="A2045" s="231" t="n">
        <v>2041</v>
      </c>
      <c r="B2045" s="232" t="inlineStr">
        <is>
          <t>Tata</t>
        </is>
      </c>
      <c r="C2045" s="233" t="inlineStr">
        <is>
          <t>Harrier</t>
        </is>
      </c>
      <c r="D2045" s="234" t="inlineStr">
        <is>
          <t>Harrier Fearless Ultra</t>
        </is>
      </c>
      <c r="E2045" s="235" t="inlineStr">
        <is>
          <t>Nitro Crimson With Dual Tone</t>
        </is>
      </c>
    </row>
    <row r="2046" ht="15" customHeight="1">
      <c r="A2046" s="231" t="n">
        <v>2042</v>
      </c>
      <c r="B2046" s="232" t="inlineStr">
        <is>
          <t>Tata</t>
        </is>
      </c>
      <c r="C2046" s="233" t="inlineStr">
        <is>
          <t>Harrier</t>
        </is>
      </c>
      <c r="D2046" s="234" t="inlineStr">
        <is>
          <t>Harrier Fearless Ultra Red Dark</t>
        </is>
      </c>
      <c r="E2046" s="235" t="inlineStr">
        <is>
          <t>Ultra_Red_dark</t>
        </is>
      </c>
    </row>
    <row r="2047" ht="15" customHeight="1">
      <c r="A2047" s="231" t="n">
        <v>2043</v>
      </c>
      <c r="B2047" s="232" t="inlineStr">
        <is>
          <t>Tata</t>
        </is>
      </c>
      <c r="C2047" s="233" t="inlineStr">
        <is>
          <t>Harrier</t>
        </is>
      </c>
      <c r="D2047" s="234" t="inlineStr">
        <is>
          <t>Harrier Fearless X</t>
        </is>
      </c>
      <c r="E2047" s="235" t="inlineStr">
        <is>
          <t>Daytona Grey With Dual Tone</t>
        </is>
      </c>
    </row>
    <row r="2048" ht="15" customHeight="1">
      <c r="A2048" s="231" t="n">
        <v>2044</v>
      </c>
      <c r="B2048" s="232" t="inlineStr">
        <is>
          <t>Tata</t>
        </is>
      </c>
      <c r="C2048" s="233" t="inlineStr">
        <is>
          <t>Harrier</t>
        </is>
      </c>
      <c r="D2048" s="234" t="inlineStr">
        <is>
          <t>Harrier Fearless X</t>
        </is>
      </c>
      <c r="E2048" s="235" t="inlineStr">
        <is>
          <t>Fearless Red With Dual Tone</t>
        </is>
      </c>
    </row>
    <row r="2049" ht="15" customHeight="1">
      <c r="A2049" s="231" t="n">
        <v>2045</v>
      </c>
      <c r="B2049" s="232" t="inlineStr">
        <is>
          <t>Tata</t>
        </is>
      </c>
      <c r="C2049" s="233" t="inlineStr">
        <is>
          <t>Harrier</t>
        </is>
      </c>
      <c r="D2049" s="234" t="inlineStr">
        <is>
          <t>Harrier Fearless X</t>
        </is>
      </c>
      <c r="E2049" s="235" t="inlineStr">
        <is>
          <t>Pristine White With Dual Tone</t>
        </is>
      </c>
    </row>
    <row r="2050" ht="15" customHeight="1">
      <c r="A2050" s="231" t="n">
        <v>2046</v>
      </c>
      <c r="B2050" s="232" t="inlineStr">
        <is>
          <t>Tata</t>
        </is>
      </c>
      <c r="C2050" s="233" t="inlineStr">
        <is>
          <t>Harrier</t>
        </is>
      </c>
      <c r="D2050" s="234" t="inlineStr">
        <is>
          <t>Harrier Fearless X</t>
        </is>
      </c>
      <c r="E2050" s="235" t="inlineStr">
        <is>
          <t>Pure Grey With Dual Tone</t>
        </is>
      </c>
    </row>
    <row r="2051" ht="15" customHeight="1">
      <c r="A2051" s="231" t="n">
        <v>2047</v>
      </c>
      <c r="B2051" s="232" t="inlineStr">
        <is>
          <t>Tata</t>
        </is>
      </c>
      <c r="C2051" s="233" t="inlineStr">
        <is>
          <t>Harrier</t>
        </is>
      </c>
      <c r="D2051" s="234" t="inlineStr">
        <is>
          <t>Harrier Fearless X</t>
        </is>
      </c>
      <c r="E2051" s="235" t="inlineStr">
        <is>
          <t>Seaweed Green With Dual Tone</t>
        </is>
      </c>
    </row>
    <row r="2052" ht="15" customHeight="1">
      <c r="A2052" s="231" t="n">
        <v>2048</v>
      </c>
      <c r="B2052" s="232" t="inlineStr">
        <is>
          <t>Tata</t>
        </is>
      </c>
      <c r="C2052" s="233" t="inlineStr">
        <is>
          <t>Harrier</t>
        </is>
      </c>
      <c r="D2052" s="234" t="inlineStr">
        <is>
          <t>Harrier Fearless X Dark Edition</t>
        </is>
      </c>
      <c r="E2052" s="235" t="inlineStr">
        <is>
          <t>Carbon Black</t>
        </is>
      </c>
    </row>
    <row r="2053" ht="15" customHeight="1">
      <c r="A2053" s="231" t="n">
        <v>2049</v>
      </c>
      <c r="B2053" s="232" t="inlineStr">
        <is>
          <t>Tata</t>
        </is>
      </c>
      <c r="C2053" s="233" t="inlineStr">
        <is>
          <t>Harrier</t>
        </is>
      </c>
      <c r="D2053" s="234" t="inlineStr">
        <is>
          <t>Harrier Fearless X Plus</t>
        </is>
      </c>
      <c r="E2053" s="235" t="inlineStr">
        <is>
          <t>Daytona Grey With Dual Tone</t>
        </is>
      </c>
    </row>
    <row r="2054" ht="15" customHeight="1">
      <c r="A2054" s="231" t="n">
        <v>2050</v>
      </c>
      <c r="B2054" s="232" t="inlineStr">
        <is>
          <t>Tata</t>
        </is>
      </c>
      <c r="C2054" s="233" t="inlineStr">
        <is>
          <t>Harrier</t>
        </is>
      </c>
      <c r="D2054" s="234" t="inlineStr">
        <is>
          <t>Harrier Fearless X Plus</t>
        </is>
      </c>
      <c r="E2054" s="235" t="inlineStr">
        <is>
          <t>Fearless Red With Dual Tone</t>
        </is>
      </c>
    </row>
    <row r="2055" ht="15" customHeight="1">
      <c r="A2055" s="231" t="n">
        <v>2051</v>
      </c>
      <c r="B2055" s="232" t="inlineStr">
        <is>
          <t>Tata</t>
        </is>
      </c>
      <c r="C2055" s="233" t="inlineStr">
        <is>
          <t>Harrier</t>
        </is>
      </c>
      <c r="D2055" s="234" t="inlineStr">
        <is>
          <t>Harrier Fearless X Plus</t>
        </is>
      </c>
      <c r="E2055" s="235" t="inlineStr">
        <is>
          <t>Pristine White With Dual Tone</t>
        </is>
      </c>
    </row>
    <row r="2056" ht="15" customHeight="1">
      <c r="A2056" s="231" t="n">
        <v>2052</v>
      </c>
      <c r="B2056" s="232" t="inlineStr">
        <is>
          <t>Tata</t>
        </is>
      </c>
      <c r="C2056" s="233" t="inlineStr">
        <is>
          <t>Harrier</t>
        </is>
      </c>
      <c r="D2056" s="234" t="inlineStr">
        <is>
          <t>Harrier Fearless X Plus</t>
        </is>
      </c>
      <c r="E2056" s="235" t="inlineStr">
        <is>
          <t>Pure Grey With Dual Tone</t>
        </is>
      </c>
    </row>
    <row r="2057" ht="15" customHeight="1">
      <c r="A2057" s="231" t="n">
        <v>2053</v>
      </c>
      <c r="B2057" s="232" t="inlineStr">
        <is>
          <t>Tata</t>
        </is>
      </c>
      <c r="C2057" s="233" t="inlineStr">
        <is>
          <t>Harrier</t>
        </is>
      </c>
      <c r="D2057" s="234" t="inlineStr">
        <is>
          <t>Harrier Fearless X Plus</t>
        </is>
      </c>
      <c r="E2057" s="235" t="inlineStr">
        <is>
          <t>Seaweed Green With Dual Tone</t>
        </is>
      </c>
    </row>
    <row r="2058" ht="15" customHeight="1">
      <c r="A2058" s="231" t="n">
        <v>2054</v>
      </c>
      <c r="B2058" s="232" t="inlineStr">
        <is>
          <t>Tata</t>
        </is>
      </c>
      <c r="C2058" s="233" t="inlineStr">
        <is>
          <t>Harrier</t>
        </is>
      </c>
      <c r="D2058" s="234" t="inlineStr">
        <is>
          <t>Harrier Fearless X Plus</t>
        </is>
      </c>
      <c r="E2058" s="235" t="inlineStr">
        <is>
          <t>Sunlit Yellow With Dual Tone</t>
        </is>
      </c>
    </row>
    <row r="2059" ht="15" customHeight="1">
      <c r="A2059" s="231" t="n">
        <v>2055</v>
      </c>
      <c r="B2059" s="232" t="inlineStr">
        <is>
          <t>Tata</t>
        </is>
      </c>
      <c r="C2059" s="233" t="inlineStr">
        <is>
          <t>Harrier</t>
        </is>
      </c>
      <c r="D2059" s="234" t="inlineStr">
        <is>
          <t>Harrier Fearless X Plus Dark Edition</t>
        </is>
      </c>
      <c r="E2059" s="235" t="inlineStr">
        <is>
          <t>Carbon Black</t>
        </is>
      </c>
    </row>
    <row r="2060" ht="15" customHeight="1">
      <c r="A2060" s="231" t="n">
        <v>2056</v>
      </c>
      <c r="B2060" s="232" t="inlineStr">
        <is>
          <t>Tata</t>
        </is>
      </c>
      <c r="C2060" s="233" t="inlineStr">
        <is>
          <t>Harrier</t>
        </is>
      </c>
      <c r="D2060" s="234" t="inlineStr">
        <is>
          <t>Harrier Pure X</t>
        </is>
      </c>
      <c r="E2060" s="235" t="inlineStr">
        <is>
          <t>Daytona Grey</t>
        </is>
      </c>
    </row>
    <row r="2061" ht="15" customHeight="1">
      <c r="A2061" s="231" t="n">
        <v>2057</v>
      </c>
      <c r="B2061" s="232" t="inlineStr">
        <is>
          <t>Tata</t>
        </is>
      </c>
      <c r="C2061" s="233" t="inlineStr">
        <is>
          <t>Harrier</t>
        </is>
      </c>
      <c r="D2061" s="234" t="inlineStr">
        <is>
          <t>Harrier Pure X</t>
        </is>
      </c>
      <c r="E2061" s="235" t="inlineStr">
        <is>
          <t>Fearless Red</t>
        </is>
      </c>
    </row>
    <row r="2062" ht="15" customHeight="1">
      <c r="A2062" s="231" t="n">
        <v>2058</v>
      </c>
      <c r="B2062" s="232" t="inlineStr">
        <is>
          <t>Tata</t>
        </is>
      </c>
      <c r="C2062" s="233" t="inlineStr">
        <is>
          <t>Harrier</t>
        </is>
      </c>
      <c r="D2062" s="234" t="inlineStr">
        <is>
          <t>Harrier Pure X</t>
        </is>
      </c>
      <c r="E2062" s="235" t="inlineStr">
        <is>
          <t>Pristine White</t>
        </is>
      </c>
    </row>
    <row r="2063" ht="15" customHeight="1">
      <c r="A2063" s="231" t="n">
        <v>2059</v>
      </c>
      <c r="B2063" s="232" t="inlineStr">
        <is>
          <t>Tata</t>
        </is>
      </c>
      <c r="C2063" s="233" t="inlineStr">
        <is>
          <t>Harrier</t>
        </is>
      </c>
      <c r="D2063" s="234" t="inlineStr">
        <is>
          <t>Harrier Pure X</t>
        </is>
      </c>
      <c r="E2063" s="235" t="inlineStr">
        <is>
          <t>Pure Grey</t>
        </is>
      </c>
    </row>
    <row r="2064" ht="15" customHeight="1">
      <c r="A2064" s="231" t="n">
        <v>2060</v>
      </c>
      <c r="B2064" s="232" t="inlineStr">
        <is>
          <t>Tata</t>
        </is>
      </c>
      <c r="C2064" s="233" t="inlineStr">
        <is>
          <t>Harrier</t>
        </is>
      </c>
      <c r="D2064" s="234" t="inlineStr">
        <is>
          <t>Harrier Pure X Dark Edition</t>
        </is>
      </c>
      <c r="E2064" s="235" t="inlineStr">
        <is>
          <t>Carbon Black</t>
        </is>
      </c>
    </row>
    <row r="2065" ht="15" customHeight="1">
      <c r="A2065" s="231" t="n">
        <v>2061</v>
      </c>
      <c r="B2065" s="232" t="inlineStr">
        <is>
          <t>Tata</t>
        </is>
      </c>
      <c r="C2065" s="233" t="inlineStr">
        <is>
          <t>Harrier</t>
        </is>
      </c>
      <c r="D2065" s="234" t="inlineStr">
        <is>
          <t>Harrier Smart</t>
        </is>
      </c>
      <c r="E2065" s="235" t="inlineStr">
        <is>
          <t>Daytona Grey</t>
        </is>
      </c>
    </row>
    <row r="2066" ht="15" customHeight="1">
      <c r="A2066" s="231" t="n">
        <v>2062</v>
      </c>
      <c r="B2066" s="232" t="inlineStr">
        <is>
          <t>Tata</t>
        </is>
      </c>
      <c r="C2066" s="233" t="inlineStr">
        <is>
          <t>Harrier</t>
        </is>
      </c>
      <c r="D2066" s="234" t="inlineStr">
        <is>
          <t>Harrier Smart</t>
        </is>
      </c>
      <c r="E2066" s="235" t="inlineStr">
        <is>
          <t>Fearless Red</t>
        </is>
      </c>
    </row>
    <row r="2067" ht="15" customHeight="1">
      <c r="A2067" s="231" t="n">
        <v>2063</v>
      </c>
      <c r="B2067" s="232" t="inlineStr">
        <is>
          <t>Tata</t>
        </is>
      </c>
      <c r="C2067" s="233" t="inlineStr">
        <is>
          <t>Harrier</t>
        </is>
      </c>
      <c r="D2067" s="234" t="inlineStr">
        <is>
          <t>Harrier Smart</t>
        </is>
      </c>
      <c r="E2067" s="235" t="inlineStr">
        <is>
          <t>Pristine White</t>
        </is>
      </c>
    </row>
    <row r="2068" ht="15" customHeight="1">
      <c r="A2068" s="231" t="n">
        <v>2064</v>
      </c>
      <c r="B2068" s="232" t="inlineStr">
        <is>
          <t>Tata</t>
        </is>
      </c>
      <c r="C2068" s="233" t="inlineStr">
        <is>
          <t>Harrier</t>
        </is>
      </c>
      <c r="D2068" s="234" t="inlineStr">
        <is>
          <t>Harrier Smart</t>
        </is>
      </c>
      <c r="E2068" s="235" t="inlineStr">
        <is>
          <t>Pure Grey</t>
        </is>
      </c>
    </row>
    <row r="2069" ht="15" customHeight="1">
      <c r="A2069" s="231" t="n">
        <v>2065</v>
      </c>
      <c r="B2069" s="232" t="inlineStr">
        <is>
          <t>Tata</t>
        </is>
      </c>
      <c r="C2069" s="233" t="inlineStr">
        <is>
          <t>Harrier</t>
        </is>
      </c>
      <c r="D2069" s="234" t="inlineStr">
        <is>
          <t>Harrier Stealth Edition</t>
        </is>
      </c>
      <c r="E2069" s="235" t="inlineStr">
        <is>
          <t>Stealth Black</t>
        </is>
      </c>
    </row>
    <row r="2070" ht="15" customHeight="1">
      <c r="A2070" s="231" t="n">
        <v>2066</v>
      </c>
      <c r="B2070" s="232" t="inlineStr">
        <is>
          <t>Tata</t>
        </is>
      </c>
      <c r="C2070" s="233" t="inlineStr">
        <is>
          <t>Nexon</t>
        </is>
      </c>
      <c r="D2070" s="234" t="inlineStr">
        <is>
          <t>Nexon Creative</t>
        </is>
      </c>
      <c r="E2070" s="235" t="inlineStr">
        <is>
          <t>Daytona Grey</t>
        </is>
      </c>
    </row>
    <row r="2071" ht="15" customHeight="1">
      <c r="A2071" s="231" t="n">
        <v>2067</v>
      </c>
      <c r="B2071" s="232" t="inlineStr">
        <is>
          <t>Tata</t>
        </is>
      </c>
      <c r="C2071" s="233" t="inlineStr">
        <is>
          <t>Nexon</t>
        </is>
      </c>
      <c r="D2071" s="234" t="inlineStr">
        <is>
          <t>Nexon Creative</t>
        </is>
      </c>
      <c r="E2071" s="235" t="inlineStr">
        <is>
          <t>Grassland Beige</t>
        </is>
      </c>
    </row>
    <row r="2072" ht="15" customHeight="1">
      <c r="A2072" s="231" t="n">
        <v>2068</v>
      </c>
      <c r="B2072" s="232" t="inlineStr">
        <is>
          <t>Tata</t>
        </is>
      </c>
      <c r="C2072" s="233" t="inlineStr">
        <is>
          <t>Nexon</t>
        </is>
      </c>
      <c r="D2072" s="234" t="inlineStr">
        <is>
          <t>Nexon Creative</t>
        </is>
      </c>
      <c r="E2072" s="235" t="inlineStr">
        <is>
          <t>Ocean Blue</t>
        </is>
      </c>
    </row>
    <row r="2073" ht="15" customHeight="1">
      <c r="A2073" s="231" t="n">
        <v>2069</v>
      </c>
      <c r="B2073" s="232" t="inlineStr">
        <is>
          <t>Tata</t>
        </is>
      </c>
      <c r="C2073" s="233" t="inlineStr">
        <is>
          <t>Nexon</t>
        </is>
      </c>
      <c r="D2073" s="234" t="inlineStr">
        <is>
          <t>Nexon Creative</t>
        </is>
      </c>
      <c r="E2073" s="235" t="inlineStr">
        <is>
          <t>Pristine White</t>
        </is>
      </c>
    </row>
    <row r="2074" ht="15" customHeight="1">
      <c r="A2074" s="231" t="n">
        <v>2070</v>
      </c>
      <c r="B2074" s="232" t="inlineStr">
        <is>
          <t>Tata</t>
        </is>
      </c>
      <c r="C2074" s="233" t="inlineStr">
        <is>
          <t>Nexon</t>
        </is>
      </c>
      <c r="D2074" s="234" t="inlineStr">
        <is>
          <t>Nexon Creative</t>
        </is>
      </c>
      <c r="E2074" s="235" t="inlineStr">
        <is>
          <t>Pure Grey</t>
        </is>
      </c>
    </row>
    <row r="2075" ht="15" customHeight="1">
      <c r="A2075" s="231" t="n">
        <v>2071</v>
      </c>
      <c r="B2075" s="232" t="inlineStr">
        <is>
          <t>Tata</t>
        </is>
      </c>
      <c r="C2075" s="233" t="inlineStr">
        <is>
          <t>Nexon</t>
        </is>
      </c>
      <c r="D2075" s="234" t="inlineStr">
        <is>
          <t>Nexon Creative</t>
        </is>
      </c>
      <c r="E2075" s="235" t="inlineStr">
        <is>
          <t>Royale Blue</t>
        </is>
      </c>
    </row>
    <row r="2076" ht="15" customHeight="1">
      <c r="A2076" s="231" t="n">
        <v>2072</v>
      </c>
      <c r="B2076" s="232" t="inlineStr">
        <is>
          <t>Tata</t>
        </is>
      </c>
      <c r="C2076" s="233" t="inlineStr">
        <is>
          <t>Nexon</t>
        </is>
      </c>
      <c r="D2076" s="234" t="inlineStr">
        <is>
          <t>Nexon Creative Plus (PS)</t>
        </is>
      </c>
      <c r="E2076" s="235" t="inlineStr">
        <is>
          <t>Daytona Grey with Black Roof</t>
        </is>
      </c>
    </row>
    <row r="2077" ht="15" customHeight="1">
      <c r="A2077" s="231" t="n">
        <v>2073</v>
      </c>
      <c r="B2077" s="232" t="inlineStr">
        <is>
          <t>Tata</t>
        </is>
      </c>
      <c r="C2077" s="233" t="inlineStr">
        <is>
          <t>Nexon</t>
        </is>
      </c>
      <c r="D2077" s="234" t="inlineStr">
        <is>
          <t>Nexon Creative Plus (PS)</t>
        </is>
      </c>
      <c r="E2077" s="235" t="inlineStr">
        <is>
          <t>Grassland Beige with Black roof</t>
        </is>
      </c>
    </row>
    <row r="2078" ht="15" customHeight="1">
      <c r="A2078" s="231" t="n">
        <v>2074</v>
      </c>
      <c r="B2078" s="232" t="inlineStr">
        <is>
          <t>Tata</t>
        </is>
      </c>
      <c r="C2078" s="233" t="inlineStr">
        <is>
          <t>Nexon</t>
        </is>
      </c>
      <c r="D2078" s="234" t="inlineStr">
        <is>
          <t>Nexon Creative Plus (PS)</t>
        </is>
      </c>
      <c r="E2078" s="235" t="inlineStr">
        <is>
          <t>Ocean Blue with White Roof</t>
        </is>
      </c>
    </row>
    <row r="2079" ht="15" customHeight="1">
      <c r="A2079" s="231" t="n">
        <v>2075</v>
      </c>
      <c r="B2079" s="232" t="inlineStr">
        <is>
          <t>Tata</t>
        </is>
      </c>
      <c r="C2079" s="233" t="inlineStr">
        <is>
          <t>Nexon</t>
        </is>
      </c>
      <c r="D2079" s="234" t="inlineStr">
        <is>
          <t>Nexon Creative Plus (PS)</t>
        </is>
      </c>
      <c r="E2079" s="235" t="inlineStr">
        <is>
          <t>Pure Grey with Black roof</t>
        </is>
      </c>
    </row>
    <row r="2080" ht="15" customHeight="1">
      <c r="A2080" s="231" t="n">
        <v>2076</v>
      </c>
      <c r="B2080" s="232" t="inlineStr">
        <is>
          <t>Tata</t>
        </is>
      </c>
      <c r="C2080" s="233" t="inlineStr">
        <is>
          <t>Nexon</t>
        </is>
      </c>
      <c r="D2080" s="234" t="inlineStr">
        <is>
          <t>Nexon Creative Plus (PS)</t>
        </is>
      </c>
      <c r="E2080" s="235" t="inlineStr">
        <is>
          <t>Royal Blue with Black roof</t>
        </is>
      </c>
    </row>
    <row r="2081" ht="15" customHeight="1">
      <c r="A2081" s="231" t="n">
        <v>2077</v>
      </c>
      <c r="B2081" s="232" t="inlineStr">
        <is>
          <t>Tata</t>
        </is>
      </c>
      <c r="C2081" s="233" t="inlineStr">
        <is>
          <t>Nexon</t>
        </is>
      </c>
      <c r="D2081" s="234" t="inlineStr">
        <is>
          <t>Nexon Creative Plus (S)</t>
        </is>
      </c>
      <c r="E2081" s="235" t="inlineStr">
        <is>
          <t>Daytona Grey</t>
        </is>
      </c>
    </row>
    <row r="2082" ht="15" customHeight="1">
      <c r="A2082" s="231" t="n">
        <v>2078</v>
      </c>
      <c r="B2082" s="232" t="inlineStr">
        <is>
          <t>Tata</t>
        </is>
      </c>
      <c r="C2082" s="233" t="inlineStr">
        <is>
          <t>Nexon</t>
        </is>
      </c>
      <c r="D2082" s="234" t="inlineStr">
        <is>
          <t>Nexon Creative Plus (S)</t>
        </is>
      </c>
      <c r="E2082" s="235" t="inlineStr">
        <is>
          <t>Grassland Beige</t>
        </is>
      </c>
    </row>
    <row r="2083" ht="15" customHeight="1">
      <c r="A2083" s="231" t="n">
        <v>2079</v>
      </c>
      <c r="B2083" s="232" t="inlineStr">
        <is>
          <t>Tata</t>
        </is>
      </c>
      <c r="C2083" s="233" t="inlineStr">
        <is>
          <t>Nexon</t>
        </is>
      </c>
      <c r="D2083" s="234" t="inlineStr">
        <is>
          <t>Nexon Creative Plus (S)</t>
        </is>
      </c>
      <c r="E2083" s="235" t="inlineStr">
        <is>
          <t>Ocean Blue</t>
        </is>
      </c>
    </row>
    <row r="2084" ht="15" customHeight="1">
      <c r="A2084" s="231" t="n">
        <v>2080</v>
      </c>
      <c r="B2084" s="232" t="inlineStr">
        <is>
          <t>Tata</t>
        </is>
      </c>
      <c r="C2084" s="233" t="inlineStr">
        <is>
          <t>Nexon</t>
        </is>
      </c>
      <c r="D2084" s="234" t="inlineStr">
        <is>
          <t>Nexon Creative Plus (S)</t>
        </is>
      </c>
      <c r="E2084" s="235" t="inlineStr">
        <is>
          <t>Pristine White</t>
        </is>
      </c>
    </row>
    <row r="2085" ht="15" customHeight="1">
      <c r="A2085" s="231" t="n">
        <v>2081</v>
      </c>
      <c r="B2085" s="232" t="inlineStr">
        <is>
          <t>Tata</t>
        </is>
      </c>
      <c r="C2085" s="233" t="inlineStr">
        <is>
          <t>Nexon</t>
        </is>
      </c>
      <c r="D2085" s="234" t="inlineStr">
        <is>
          <t>Nexon Creative Plus (S)</t>
        </is>
      </c>
      <c r="E2085" s="235" t="inlineStr">
        <is>
          <t>Pure Grey</t>
        </is>
      </c>
    </row>
    <row r="2086" ht="15" customHeight="1">
      <c r="A2086" s="231" t="n">
        <v>2082</v>
      </c>
      <c r="B2086" s="232" t="inlineStr">
        <is>
          <t>Tata</t>
        </is>
      </c>
      <c r="C2086" s="233" t="inlineStr">
        <is>
          <t>Nexon</t>
        </is>
      </c>
      <c r="D2086" s="234" t="inlineStr">
        <is>
          <t>Nexon Creative Plus (S)</t>
        </is>
      </c>
      <c r="E2086" s="235" t="inlineStr">
        <is>
          <t>Royale Blue</t>
        </is>
      </c>
    </row>
    <row r="2087" ht="15" customHeight="1">
      <c r="A2087" s="231" t="n">
        <v>2083</v>
      </c>
      <c r="B2087" s="232" t="inlineStr">
        <is>
          <t>Tata</t>
        </is>
      </c>
      <c r="C2087" s="233" t="inlineStr">
        <is>
          <t>Nexon</t>
        </is>
      </c>
      <c r="D2087" s="234" t="inlineStr">
        <is>
          <t>Nexon Fearless Plus (PS)</t>
        </is>
      </c>
      <c r="E2087" s="235" t="inlineStr">
        <is>
          <t>Daytona Grey</t>
        </is>
      </c>
    </row>
    <row r="2088" ht="15" customHeight="1">
      <c r="A2088" s="231" t="n">
        <v>2084</v>
      </c>
      <c r="B2088" s="232" t="inlineStr">
        <is>
          <t>Tata</t>
        </is>
      </c>
      <c r="C2088" s="233" t="inlineStr">
        <is>
          <t>Nexon</t>
        </is>
      </c>
      <c r="D2088" s="234" t="inlineStr">
        <is>
          <t>Nexon Fearless Plus (PS)</t>
        </is>
      </c>
      <c r="E2088" s="235" t="inlineStr">
        <is>
          <t>Grassland Beige</t>
        </is>
      </c>
    </row>
    <row r="2089" ht="15" customHeight="1">
      <c r="A2089" s="231" t="n">
        <v>2085</v>
      </c>
      <c r="B2089" s="232" t="inlineStr">
        <is>
          <t>Tata</t>
        </is>
      </c>
      <c r="C2089" s="233" t="inlineStr">
        <is>
          <t>Nexon</t>
        </is>
      </c>
      <c r="D2089" s="234" t="inlineStr">
        <is>
          <t>Nexon Fearless Plus (PS)</t>
        </is>
      </c>
      <c r="E2089" s="235" t="inlineStr">
        <is>
          <t>Ocean Blue</t>
        </is>
      </c>
    </row>
    <row r="2090" ht="15" customHeight="1">
      <c r="A2090" s="231" t="n">
        <v>2086</v>
      </c>
      <c r="B2090" s="232" t="inlineStr">
        <is>
          <t>Tata</t>
        </is>
      </c>
      <c r="C2090" s="233" t="inlineStr">
        <is>
          <t>Nexon</t>
        </is>
      </c>
      <c r="D2090" s="234" t="inlineStr">
        <is>
          <t>Nexon Fearless Plus (PS)</t>
        </is>
      </c>
      <c r="E2090" s="235" t="inlineStr">
        <is>
          <t>Pristine White</t>
        </is>
      </c>
    </row>
    <row r="2091" ht="15" customHeight="1">
      <c r="A2091" s="231" t="n">
        <v>2087</v>
      </c>
      <c r="B2091" s="232" t="inlineStr">
        <is>
          <t>Tata</t>
        </is>
      </c>
      <c r="C2091" s="233" t="inlineStr">
        <is>
          <t>Nexon</t>
        </is>
      </c>
      <c r="D2091" s="234" t="inlineStr">
        <is>
          <t>Nexon Fearless Plus (PS)</t>
        </is>
      </c>
      <c r="E2091" s="235" t="inlineStr">
        <is>
          <t>Pure Grey</t>
        </is>
      </c>
    </row>
    <row r="2092" ht="15" customHeight="1">
      <c r="A2092" s="231" t="n">
        <v>2088</v>
      </c>
      <c r="B2092" s="232" t="inlineStr">
        <is>
          <t>Tata</t>
        </is>
      </c>
      <c r="C2092" s="233" t="inlineStr">
        <is>
          <t>Nexon</t>
        </is>
      </c>
      <c r="D2092" s="234" t="inlineStr">
        <is>
          <t>Nexon Fearless Plus (PS)</t>
        </is>
      </c>
      <c r="E2092" s="235" t="inlineStr">
        <is>
          <t>Royale Blue</t>
        </is>
      </c>
    </row>
    <row r="2093" ht="15" customHeight="1">
      <c r="A2093" s="231" t="n">
        <v>2089</v>
      </c>
      <c r="B2093" s="232" t="inlineStr">
        <is>
          <t>Tata</t>
        </is>
      </c>
      <c r="C2093" s="233" t="inlineStr">
        <is>
          <t>Nexon</t>
        </is>
      </c>
      <c r="D2093" s="234" t="inlineStr">
        <is>
          <t>Nexon Fearless Plus A (PS)</t>
        </is>
      </c>
      <c r="E2093" s="235" t="inlineStr">
        <is>
          <t>Daytona Grey with Black Roof</t>
        </is>
      </c>
    </row>
    <row r="2094" ht="15" customHeight="1">
      <c r="A2094" s="231" t="n">
        <v>2090</v>
      </c>
      <c r="B2094" s="232" t="inlineStr">
        <is>
          <t>Tata</t>
        </is>
      </c>
      <c r="C2094" s="233" t="inlineStr">
        <is>
          <t>Nexon</t>
        </is>
      </c>
      <c r="D2094" s="234" t="inlineStr">
        <is>
          <t>Nexon Fearless Plus A (PS)</t>
        </is>
      </c>
      <c r="E2094" s="235" t="inlineStr">
        <is>
          <t>Grassland Beige with Black roof</t>
        </is>
      </c>
    </row>
    <row r="2095" ht="15" customHeight="1">
      <c r="A2095" s="231" t="n">
        <v>2091</v>
      </c>
      <c r="B2095" s="232" t="inlineStr">
        <is>
          <t>Tata</t>
        </is>
      </c>
      <c r="C2095" s="233" t="inlineStr">
        <is>
          <t>Nexon</t>
        </is>
      </c>
      <c r="D2095" s="234" t="inlineStr">
        <is>
          <t>Nexon Fearless Plus A (PS)</t>
        </is>
      </c>
      <c r="E2095" s="235" t="inlineStr">
        <is>
          <t>Ocean Blue with White Roof</t>
        </is>
      </c>
    </row>
    <row r="2096" ht="15" customHeight="1">
      <c r="A2096" s="231" t="n">
        <v>2092</v>
      </c>
      <c r="B2096" s="232" t="inlineStr">
        <is>
          <t>Tata</t>
        </is>
      </c>
      <c r="C2096" s="233" t="inlineStr">
        <is>
          <t>Nexon</t>
        </is>
      </c>
      <c r="D2096" s="234" t="inlineStr">
        <is>
          <t>Nexon Fearless Plus A (PS)</t>
        </is>
      </c>
      <c r="E2096" s="235" t="inlineStr">
        <is>
          <t>Pure Grey with Black roof</t>
        </is>
      </c>
    </row>
    <row r="2097" ht="15" customHeight="1">
      <c r="A2097" s="231" t="n">
        <v>2093</v>
      </c>
      <c r="B2097" s="232" t="inlineStr">
        <is>
          <t>Tata</t>
        </is>
      </c>
      <c r="C2097" s="233" t="inlineStr">
        <is>
          <t>Nexon</t>
        </is>
      </c>
      <c r="D2097" s="234" t="inlineStr">
        <is>
          <t>Nexon Fearless Plus A (PS)</t>
        </is>
      </c>
      <c r="E2097" s="235" t="inlineStr">
        <is>
          <t>Royal Blue with Black roof</t>
        </is>
      </c>
    </row>
    <row r="2098" ht="15" customHeight="1">
      <c r="A2098" s="231" t="n">
        <v>2094</v>
      </c>
      <c r="B2098" s="232" t="inlineStr">
        <is>
          <t>Tata</t>
        </is>
      </c>
      <c r="C2098" s="233" t="inlineStr">
        <is>
          <t>Nexon</t>
        </is>
      </c>
      <c r="D2098" s="234" t="inlineStr">
        <is>
          <t>Nexon Pure Plus</t>
        </is>
      </c>
      <c r="E2098" s="235" t="inlineStr">
        <is>
          <t>Daytona Grey</t>
        </is>
      </c>
    </row>
    <row r="2099" ht="15" customHeight="1">
      <c r="A2099" s="231" t="n">
        <v>2095</v>
      </c>
      <c r="B2099" s="232" t="inlineStr">
        <is>
          <t>Tata</t>
        </is>
      </c>
      <c r="C2099" s="233" t="inlineStr">
        <is>
          <t>Nexon</t>
        </is>
      </c>
      <c r="D2099" s="234" t="inlineStr">
        <is>
          <t>Nexon Pure Plus</t>
        </is>
      </c>
      <c r="E2099" s="235" t="inlineStr">
        <is>
          <t>Grassland Beige</t>
        </is>
      </c>
    </row>
    <row r="2100" ht="15" customHeight="1">
      <c r="A2100" s="231" t="n">
        <v>2096</v>
      </c>
      <c r="B2100" s="232" t="inlineStr">
        <is>
          <t>Tata</t>
        </is>
      </c>
      <c r="C2100" s="233" t="inlineStr">
        <is>
          <t>Nexon</t>
        </is>
      </c>
      <c r="D2100" s="234" t="inlineStr">
        <is>
          <t>Nexon Pure Plus</t>
        </is>
      </c>
      <c r="E2100" s="235" t="inlineStr">
        <is>
          <t>Pristine White</t>
        </is>
      </c>
    </row>
    <row r="2101" ht="15" customHeight="1">
      <c r="A2101" s="231" t="n">
        <v>2097</v>
      </c>
      <c r="B2101" s="232" t="inlineStr">
        <is>
          <t>Tata</t>
        </is>
      </c>
      <c r="C2101" s="233" t="inlineStr">
        <is>
          <t>Nexon</t>
        </is>
      </c>
      <c r="D2101" s="234" t="inlineStr">
        <is>
          <t>Nexon Pure Plus</t>
        </is>
      </c>
      <c r="E2101" s="235" t="inlineStr">
        <is>
          <t>Pure Grey</t>
        </is>
      </c>
    </row>
    <row r="2102" ht="15" customHeight="1">
      <c r="A2102" s="231" t="n">
        <v>2098</v>
      </c>
      <c r="B2102" s="232" t="inlineStr">
        <is>
          <t>Tata</t>
        </is>
      </c>
      <c r="C2102" s="233" t="inlineStr">
        <is>
          <t>Nexon</t>
        </is>
      </c>
      <c r="D2102" s="234" t="inlineStr">
        <is>
          <t>Nexon Pure Plus</t>
        </is>
      </c>
      <c r="E2102" s="235" t="inlineStr">
        <is>
          <t>Royale Blue</t>
        </is>
      </c>
    </row>
    <row r="2103" ht="15" customHeight="1">
      <c r="A2103" s="231" t="n">
        <v>2099</v>
      </c>
      <c r="B2103" s="232" t="inlineStr">
        <is>
          <t>Tata</t>
        </is>
      </c>
      <c r="C2103" s="233" t="inlineStr">
        <is>
          <t>Nexon</t>
        </is>
      </c>
      <c r="D2103" s="234" t="inlineStr">
        <is>
          <t>Nexon Pure Plus (S)</t>
        </is>
      </c>
      <c r="E2103" s="235" t="inlineStr">
        <is>
          <t>Daytona Grey</t>
        </is>
      </c>
    </row>
    <row r="2104" ht="15" customHeight="1">
      <c r="A2104" s="231" t="n">
        <v>2100</v>
      </c>
      <c r="B2104" s="232" t="inlineStr">
        <is>
          <t>Tata</t>
        </is>
      </c>
      <c r="C2104" s="233" t="inlineStr">
        <is>
          <t>Nexon</t>
        </is>
      </c>
      <c r="D2104" s="234" t="inlineStr">
        <is>
          <t>Nexon Pure Plus (S)</t>
        </is>
      </c>
      <c r="E2104" s="235" t="inlineStr">
        <is>
          <t>Grassland Beige</t>
        </is>
      </c>
    </row>
    <row r="2105" ht="15" customHeight="1">
      <c r="A2105" s="231" t="n">
        <v>2101</v>
      </c>
      <c r="B2105" s="232" t="inlineStr">
        <is>
          <t>Tata</t>
        </is>
      </c>
      <c r="C2105" s="233" t="inlineStr">
        <is>
          <t>Nexon</t>
        </is>
      </c>
      <c r="D2105" s="234" t="inlineStr">
        <is>
          <t>Nexon Pure Plus (S)</t>
        </is>
      </c>
      <c r="E2105" s="235" t="inlineStr">
        <is>
          <t>Pristine White</t>
        </is>
      </c>
    </row>
    <row r="2106" ht="15" customHeight="1">
      <c r="A2106" s="231" t="n">
        <v>2102</v>
      </c>
      <c r="B2106" s="232" t="inlineStr">
        <is>
          <t>Tata</t>
        </is>
      </c>
      <c r="C2106" s="233" t="inlineStr">
        <is>
          <t>Nexon</t>
        </is>
      </c>
      <c r="D2106" s="234" t="inlineStr">
        <is>
          <t>Nexon Pure Plus (S)</t>
        </is>
      </c>
      <c r="E2106" s="235" t="inlineStr">
        <is>
          <t>Pure Grey</t>
        </is>
      </c>
    </row>
    <row r="2107" ht="15" customHeight="1">
      <c r="A2107" s="231" t="n">
        <v>2103</v>
      </c>
      <c r="B2107" s="232" t="inlineStr">
        <is>
          <t>Tata</t>
        </is>
      </c>
      <c r="C2107" s="233" t="inlineStr">
        <is>
          <t>Nexon</t>
        </is>
      </c>
      <c r="D2107" s="234" t="inlineStr">
        <is>
          <t>Nexon Pure Plus (S)</t>
        </is>
      </c>
      <c r="E2107" s="235" t="inlineStr">
        <is>
          <t>Royale Blue</t>
        </is>
      </c>
    </row>
    <row r="2108" ht="15" customHeight="1">
      <c r="A2108" s="231" t="n">
        <v>2104</v>
      </c>
      <c r="B2108" s="232" t="inlineStr">
        <is>
          <t>Tata</t>
        </is>
      </c>
      <c r="C2108" s="233" t="inlineStr">
        <is>
          <t>Nexon</t>
        </is>
      </c>
      <c r="D2108" s="234" t="inlineStr">
        <is>
          <t>Nexon Smart</t>
        </is>
      </c>
      <c r="E2108" s="235" t="inlineStr">
        <is>
          <t>Daytona Grey</t>
        </is>
      </c>
    </row>
    <row r="2109" ht="15" customHeight="1">
      <c r="A2109" s="231" t="n">
        <v>2105</v>
      </c>
      <c r="B2109" s="232" t="inlineStr">
        <is>
          <t>Tata</t>
        </is>
      </c>
      <c r="C2109" s="233" t="inlineStr">
        <is>
          <t>Nexon</t>
        </is>
      </c>
      <c r="D2109" s="234" t="inlineStr">
        <is>
          <t>Nexon Smart</t>
        </is>
      </c>
      <c r="E2109" s="235" t="inlineStr">
        <is>
          <t>Grassland Beige</t>
        </is>
      </c>
    </row>
    <row r="2110" ht="15" customHeight="1">
      <c r="A2110" s="231" t="n">
        <v>2106</v>
      </c>
      <c r="B2110" s="232" t="inlineStr">
        <is>
          <t>Tata</t>
        </is>
      </c>
      <c r="C2110" s="233" t="inlineStr">
        <is>
          <t>Nexon</t>
        </is>
      </c>
      <c r="D2110" s="234" t="inlineStr">
        <is>
          <t>Nexon Smart</t>
        </is>
      </c>
      <c r="E2110" s="235" t="inlineStr">
        <is>
          <t>Pristine White</t>
        </is>
      </c>
    </row>
    <row r="2111" ht="15" customHeight="1">
      <c r="A2111" s="231" t="n">
        <v>2107</v>
      </c>
      <c r="B2111" s="232" t="inlineStr">
        <is>
          <t>Tata</t>
        </is>
      </c>
      <c r="C2111" s="233" t="inlineStr">
        <is>
          <t>Nexon</t>
        </is>
      </c>
      <c r="D2111" s="234" t="inlineStr">
        <is>
          <t>Nexon Smart</t>
        </is>
      </c>
      <c r="E2111" s="235" t="inlineStr">
        <is>
          <t>Royale Blue</t>
        </is>
      </c>
    </row>
    <row r="2112" ht="15" customHeight="1">
      <c r="A2112" s="231" t="n">
        <v>2108</v>
      </c>
      <c r="B2112" s="232" t="inlineStr">
        <is>
          <t>Tata</t>
        </is>
      </c>
      <c r="C2112" s="233" t="inlineStr">
        <is>
          <t>Nexon</t>
        </is>
      </c>
      <c r="D2112" s="234" t="inlineStr">
        <is>
          <t>Nexon Smart Plus</t>
        </is>
      </c>
      <c r="E2112" s="235" t="inlineStr">
        <is>
          <t>Daytona Grey</t>
        </is>
      </c>
    </row>
    <row r="2113" ht="15" customHeight="1">
      <c r="A2113" s="231" t="n">
        <v>2109</v>
      </c>
      <c r="B2113" s="232" t="inlineStr">
        <is>
          <t>Tata</t>
        </is>
      </c>
      <c r="C2113" s="233" t="inlineStr">
        <is>
          <t>Nexon</t>
        </is>
      </c>
      <c r="D2113" s="234" t="inlineStr">
        <is>
          <t>Nexon Smart Plus</t>
        </is>
      </c>
      <c r="E2113" s="235" t="inlineStr">
        <is>
          <t>Grassland Beige</t>
        </is>
      </c>
    </row>
    <row r="2114" ht="15" customHeight="1">
      <c r="A2114" s="231" t="n">
        <v>2110</v>
      </c>
      <c r="B2114" s="232" t="inlineStr">
        <is>
          <t>Tata</t>
        </is>
      </c>
      <c r="C2114" s="233" t="inlineStr">
        <is>
          <t>Nexon</t>
        </is>
      </c>
      <c r="D2114" s="234" t="inlineStr">
        <is>
          <t>Nexon Smart Plus</t>
        </is>
      </c>
      <c r="E2114" s="235" t="inlineStr">
        <is>
          <t>Pristine White</t>
        </is>
      </c>
    </row>
    <row r="2115" ht="15" customHeight="1">
      <c r="A2115" s="231" t="n">
        <v>2111</v>
      </c>
      <c r="B2115" s="232" t="inlineStr">
        <is>
          <t>Tata</t>
        </is>
      </c>
      <c r="C2115" s="233" t="inlineStr">
        <is>
          <t>Nexon</t>
        </is>
      </c>
      <c r="D2115" s="234" t="inlineStr">
        <is>
          <t>Nexon Smart Plus</t>
        </is>
      </c>
      <c r="E2115" s="235" t="inlineStr">
        <is>
          <t>Royale Blue</t>
        </is>
      </c>
    </row>
    <row r="2116" ht="15" customHeight="1">
      <c r="A2116" s="231" t="n">
        <v>2112</v>
      </c>
      <c r="B2116" s="232" t="inlineStr">
        <is>
          <t>Tata</t>
        </is>
      </c>
      <c r="C2116" s="233" t="inlineStr">
        <is>
          <t>Nexon</t>
        </is>
      </c>
      <c r="D2116" s="234" t="inlineStr">
        <is>
          <t>Nexon Smart Plus (S)</t>
        </is>
      </c>
      <c r="E2116" s="235" t="inlineStr">
        <is>
          <t>Daytona Grey</t>
        </is>
      </c>
    </row>
    <row r="2117" ht="15" customHeight="1">
      <c r="A2117" s="231" t="n">
        <v>2113</v>
      </c>
      <c r="B2117" s="232" t="inlineStr">
        <is>
          <t>Tata</t>
        </is>
      </c>
      <c r="C2117" s="233" t="inlineStr">
        <is>
          <t>Nexon</t>
        </is>
      </c>
      <c r="D2117" s="234" t="inlineStr">
        <is>
          <t>Nexon Smart Plus (S)</t>
        </is>
      </c>
      <c r="E2117" s="235" t="inlineStr">
        <is>
          <t>Grassland Beige</t>
        </is>
      </c>
    </row>
    <row r="2118" ht="15" customHeight="1">
      <c r="A2118" s="231" t="n">
        <v>2114</v>
      </c>
      <c r="B2118" s="232" t="inlineStr">
        <is>
          <t>Tata</t>
        </is>
      </c>
      <c r="C2118" s="233" t="inlineStr">
        <is>
          <t>Nexon</t>
        </is>
      </c>
      <c r="D2118" s="234" t="inlineStr">
        <is>
          <t>Nexon Smart Plus (S)</t>
        </is>
      </c>
      <c r="E2118" s="235" t="inlineStr">
        <is>
          <t>Pristine White</t>
        </is>
      </c>
    </row>
    <row r="2119" ht="15" customHeight="1">
      <c r="A2119" s="231" t="n">
        <v>2115</v>
      </c>
      <c r="B2119" s="232" t="inlineStr">
        <is>
          <t>Tata</t>
        </is>
      </c>
      <c r="C2119" s="233" t="inlineStr">
        <is>
          <t>Nexon</t>
        </is>
      </c>
      <c r="D2119" s="234" t="inlineStr">
        <is>
          <t>Nexon Smart Plus (S)</t>
        </is>
      </c>
      <c r="E2119" s="235" t="inlineStr">
        <is>
          <t>Royale Blue</t>
        </is>
      </c>
    </row>
    <row r="2120" ht="15" customHeight="1">
      <c r="A2120" s="231" t="n">
        <v>2116</v>
      </c>
      <c r="B2120" s="232" t="inlineStr">
        <is>
          <t>Tata</t>
        </is>
      </c>
      <c r="C2120" s="233" t="inlineStr">
        <is>
          <t>Punch</t>
        </is>
      </c>
      <c r="D2120" s="234" t="inlineStr">
        <is>
          <t>Punch Accomplished</t>
        </is>
      </c>
      <c r="E2120" s="235" t="inlineStr">
        <is>
          <t>Bengal Rouge With White roof</t>
        </is>
      </c>
    </row>
    <row r="2121" ht="15" customHeight="1">
      <c r="A2121" s="231" t="n">
        <v>2117</v>
      </c>
      <c r="B2121" s="232" t="inlineStr">
        <is>
          <t>Tata</t>
        </is>
      </c>
      <c r="C2121" s="233" t="inlineStr">
        <is>
          <t>Punch</t>
        </is>
      </c>
      <c r="D2121" s="234" t="inlineStr">
        <is>
          <t>Punch Accomplished</t>
        </is>
      </c>
      <c r="E2121" s="235" t="inlineStr">
        <is>
          <t>Caramel With Black roof</t>
        </is>
      </c>
    </row>
    <row r="2122" ht="15" customHeight="1">
      <c r="A2122" s="231" t="n">
        <v>2118</v>
      </c>
      <c r="B2122" s="232" t="inlineStr">
        <is>
          <t>Tata</t>
        </is>
      </c>
      <c r="C2122" s="233" t="inlineStr">
        <is>
          <t>Punch</t>
        </is>
      </c>
      <c r="D2122" s="234" t="inlineStr">
        <is>
          <t>Punch Accomplished</t>
        </is>
      </c>
      <c r="E2122" s="235" t="inlineStr">
        <is>
          <t>Coorg Clouds With Black roof</t>
        </is>
      </c>
    </row>
    <row r="2123" ht="15" customHeight="1">
      <c r="A2123" s="231" t="n">
        <v>2119</v>
      </c>
      <c r="B2123" s="232" t="inlineStr">
        <is>
          <t>Tata</t>
        </is>
      </c>
      <c r="C2123" s="233" t="inlineStr">
        <is>
          <t>Punch</t>
        </is>
      </c>
      <c r="D2123" s="234" t="inlineStr">
        <is>
          <t>Punch Accomplished</t>
        </is>
      </c>
      <c r="E2123" s="235" t="inlineStr">
        <is>
          <t>Cyantafic Blue With White roof</t>
        </is>
      </c>
    </row>
    <row r="2124" ht="15" customHeight="1">
      <c r="A2124" s="231" t="n">
        <v>2120</v>
      </c>
      <c r="B2124" s="232" t="inlineStr">
        <is>
          <t>Tata</t>
        </is>
      </c>
      <c r="C2124" s="233" t="inlineStr">
        <is>
          <t>Punch</t>
        </is>
      </c>
      <c r="D2124" s="234" t="inlineStr">
        <is>
          <t>Punch Accomplished</t>
        </is>
      </c>
      <c r="E2124" s="235" t="inlineStr">
        <is>
          <t>Daytona Grey With Black roof</t>
        </is>
      </c>
    </row>
    <row r="2125" ht="15" customHeight="1">
      <c r="A2125" s="231" t="n">
        <v>2121</v>
      </c>
      <c r="B2125" s="232" t="inlineStr">
        <is>
          <t>Tata</t>
        </is>
      </c>
      <c r="C2125" s="233" t="inlineStr">
        <is>
          <t>Punch</t>
        </is>
      </c>
      <c r="D2125" s="234" t="inlineStr">
        <is>
          <t>Punch Accomplished</t>
        </is>
      </c>
      <c r="E2125" s="235" t="inlineStr">
        <is>
          <t>Pristine White With Black roof</t>
        </is>
      </c>
    </row>
    <row r="2126" ht="15" customHeight="1">
      <c r="A2126" s="231" t="n">
        <v>2122</v>
      </c>
      <c r="B2126" s="232" t="inlineStr">
        <is>
          <t>Tata</t>
        </is>
      </c>
      <c r="C2126" s="233" t="inlineStr">
        <is>
          <t>Punch</t>
        </is>
      </c>
      <c r="D2126" s="234" t="inlineStr">
        <is>
          <t>Punch Accomplished Plus</t>
        </is>
      </c>
      <c r="E2126" s="235" t="inlineStr">
        <is>
          <t>Bengal Rouge With White roof</t>
        </is>
      </c>
    </row>
    <row r="2127" ht="15" customHeight="1">
      <c r="A2127" s="231" t="n">
        <v>2123</v>
      </c>
      <c r="B2127" s="232" t="inlineStr">
        <is>
          <t>Tata</t>
        </is>
      </c>
      <c r="C2127" s="233" t="inlineStr">
        <is>
          <t>Punch</t>
        </is>
      </c>
      <c r="D2127" s="234" t="inlineStr">
        <is>
          <t>Punch Accomplished Plus</t>
        </is>
      </c>
      <c r="E2127" s="235" t="inlineStr">
        <is>
          <t>Caramel With Black roof</t>
        </is>
      </c>
    </row>
    <row r="2128" ht="15" customHeight="1">
      <c r="A2128" s="231" t="n">
        <v>2124</v>
      </c>
      <c r="B2128" s="232" t="inlineStr">
        <is>
          <t>Tata</t>
        </is>
      </c>
      <c r="C2128" s="233" t="inlineStr">
        <is>
          <t>Punch</t>
        </is>
      </c>
      <c r="D2128" s="234" t="inlineStr">
        <is>
          <t>Punch Accomplished Plus</t>
        </is>
      </c>
      <c r="E2128" s="235" t="inlineStr">
        <is>
          <t>Coorg Clouds With Black roof</t>
        </is>
      </c>
    </row>
    <row r="2129" ht="15" customHeight="1">
      <c r="A2129" s="231" t="n">
        <v>2125</v>
      </c>
      <c r="B2129" s="232" t="inlineStr">
        <is>
          <t>Tata</t>
        </is>
      </c>
      <c r="C2129" s="233" t="inlineStr">
        <is>
          <t>Punch</t>
        </is>
      </c>
      <c r="D2129" s="234" t="inlineStr">
        <is>
          <t>Punch Accomplished Plus</t>
        </is>
      </c>
      <c r="E2129" s="235" t="inlineStr">
        <is>
          <t>Cyantafic Blue With White roof</t>
        </is>
      </c>
    </row>
    <row r="2130" ht="15" customHeight="1">
      <c r="A2130" s="231" t="n">
        <v>2126</v>
      </c>
      <c r="B2130" s="232" t="inlineStr">
        <is>
          <t>Tata</t>
        </is>
      </c>
      <c r="C2130" s="233" t="inlineStr">
        <is>
          <t>Punch</t>
        </is>
      </c>
      <c r="D2130" s="234" t="inlineStr">
        <is>
          <t>Punch Accomplished Plus</t>
        </is>
      </c>
      <c r="E2130" s="235" t="inlineStr">
        <is>
          <t>Daytona Grey With Black roof</t>
        </is>
      </c>
    </row>
    <row r="2131" ht="15" customHeight="1">
      <c r="A2131" s="231" t="n">
        <v>2127</v>
      </c>
      <c r="B2131" s="232" t="inlineStr">
        <is>
          <t>Tata</t>
        </is>
      </c>
      <c r="C2131" s="233" t="inlineStr">
        <is>
          <t>Punch</t>
        </is>
      </c>
      <c r="D2131" s="234" t="inlineStr">
        <is>
          <t>Punch Accomplished Plus</t>
        </is>
      </c>
      <c r="E2131" s="235" t="inlineStr">
        <is>
          <t>Pristine White With Black roof</t>
        </is>
      </c>
    </row>
    <row r="2132" ht="15" customHeight="1">
      <c r="A2132" s="231" t="n">
        <v>2128</v>
      </c>
      <c r="B2132" s="232" t="inlineStr">
        <is>
          <t>Tata</t>
        </is>
      </c>
      <c r="C2132" s="233" t="inlineStr">
        <is>
          <t>Punch</t>
        </is>
      </c>
      <c r="D2132" s="234" t="inlineStr">
        <is>
          <t>Punch Accomplished Plus (S)</t>
        </is>
      </c>
      <c r="E2132" s="235" t="inlineStr">
        <is>
          <t>Bengal Rouge With White roof</t>
        </is>
      </c>
    </row>
    <row r="2133" ht="15" customHeight="1">
      <c r="A2133" s="231" t="n">
        <v>2129</v>
      </c>
      <c r="B2133" s="232" t="inlineStr">
        <is>
          <t>Tata</t>
        </is>
      </c>
      <c r="C2133" s="233" t="inlineStr">
        <is>
          <t>Punch</t>
        </is>
      </c>
      <c r="D2133" s="234" t="inlineStr">
        <is>
          <t>Punch Accomplished Plus (S)</t>
        </is>
      </c>
      <c r="E2133" s="235" t="inlineStr">
        <is>
          <t>Caramel With Black roof</t>
        </is>
      </c>
    </row>
    <row r="2134" ht="15" customHeight="1">
      <c r="A2134" s="231" t="n">
        <v>2130</v>
      </c>
      <c r="B2134" s="232" t="inlineStr">
        <is>
          <t>Tata</t>
        </is>
      </c>
      <c r="C2134" s="233" t="inlineStr">
        <is>
          <t>Punch</t>
        </is>
      </c>
      <c r="D2134" s="234" t="inlineStr">
        <is>
          <t>Punch Accomplished Plus (S)</t>
        </is>
      </c>
      <c r="E2134" s="235" t="inlineStr">
        <is>
          <t>Coorg Clouds With Black roof</t>
        </is>
      </c>
    </row>
    <row r="2135" ht="15" customHeight="1">
      <c r="A2135" s="231" t="n">
        <v>2131</v>
      </c>
      <c r="B2135" s="232" t="inlineStr">
        <is>
          <t>Tata</t>
        </is>
      </c>
      <c r="C2135" s="233" t="inlineStr">
        <is>
          <t>Punch</t>
        </is>
      </c>
      <c r="D2135" s="234" t="inlineStr">
        <is>
          <t>Punch Accomplished Plus (S)</t>
        </is>
      </c>
      <c r="E2135" s="235" t="inlineStr">
        <is>
          <t>Cyantafic Blue With White roof</t>
        </is>
      </c>
    </row>
    <row r="2136" ht="15" customHeight="1">
      <c r="A2136" s="231" t="n">
        <v>2132</v>
      </c>
      <c r="B2136" s="232" t="inlineStr">
        <is>
          <t>Tata</t>
        </is>
      </c>
      <c r="C2136" s="233" t="inlineStr">
        <is>
          <t>Punch</t>
        </is>
      </c>
      <c r="D2136" s="234" t="inlineStr">
        <is>
          <t>Punch Accomplished Plus (S)</t>
        </is>
      </c>
      <c r="E2136" s="235" t="inlineStr">
        <is>
          <t>Daytona Grey With Black roof</t>
        </is>
      </c>
    </row>
    <row r="2137" ht="15" customHeight="1">
      <c r="A2137" s="231" t="n">
        <v>2133</v>
      </c>
      <c r="B2137" s="232" t="inlineStr">
        <is>
          <t>Tata</t>
        </is>
      </c>
      <c r="C2137" s="233" t="inlineStr">
        <is>
          <t>Punch</t>
        </is>
      </c>
      <c r="D2137" s="234" t="inlineStr">
        <is>
          <t>Punch Accomplished Plus (S)</t>
        </is>
      </c>
      <c r="E2137" s="235" t="inlineStr">
        <is>
          <t>Pristine White With Black roof</t>
        </is>
      </c>
    </row>
    <row r="2138" ht="15" customHeight="1">
      <c r="A2138" s="231" t="n">
        <v>2134</v>
      </c>
      <c r="B2138" s="232" t="inlineStr">
        <is>
          <t>Tata</t>
        </is>
      </c>
      <c r="C2138" s="233" t="inlineStr">
        <is>
          <t>Punch</t>
        </is>
      </c>
      <c r="D2138" s="234" t="inlineStr">
        <is>
          <t>Punch Adventure</t>
        </is>
      </c>
      <c r="E2138" s="235" t="inlineStr">
        <is>
          <t>Bengal Rouge</t>
        </is>
      </c>
    </row>
    <row r="2139" ht="15" customHeight="1">
      <c r="A2139" s="231" t="n">
        <v>2135</v>
      </c>
      <c r="B2139" s="232" t="inlineStr">
        <is>
          <t>Tata</t>
        </is>
      </c>
      <c r="C2139" s="233" t="inlineStr">
        <is>
          <t>Punch</t>
        </is>
      </c>
      <c r="D2139" s="234" t="inlineStr">
        <is>
          <t>Punch Adventure</t>
        </is>
      </c>
      <c r="E2139" s="235" t="inlineStr">
        <is>
          <t>Caramel</t>
        </is>
      </c>
    </row>
    <row r="2140" ht="15" customHeight="1">
      <c r="A2140" s="231" t="n">
        <v>2136</v>
      </c>
      <c r="B2140" s="232" t="inlineStr">
        <is>
          <t>Tata</t>
        </is>
      </c>
      <c r="C2140" s="233" t="inlineStr">
        <is>
          <t>Punch</t>
        </is>
      </c>
      <c r="D2140" s="234" t="inlineStr">
        <is>
          <t>Punch Adventure</t>
        </is>
      </c>
      <c r="E2140" s="235" t="inlineStr">
        <is>
          <t>Coorg Clouds</t>
        </is>
      </c>
    </row>
    <row r="2141" ht="15" customHeight="1">
      <c r="A2141" s="231" t="n">
        <v>2137</v>
      </c>
      <c r="B2141" s="232" t="inlineStr">
        <is>
          <t>Tata</t>
        </is>
      </c>
      <c r="C2141" s="233" t="inlineStr">
        <is>
          <t>Punch</t>
        </is>
      </c>
      <c r="D2141" s="234" t="inlineStr">
        <is>
          <t>Punch Adventure</t>
        </is>
      </c>
      <c r="E2141" s="235" t="inlineStr">
        <is>
          <t>Cyantafic Blue</t>
        </is>
      </c>
    </row>
    <row r="2142" ht="15" customHeight="1">
      <c r="A2142" s="231" t="n">
        <v>2138</v>
      </c>
      <c r="B2142" s="232" t="inlineStr">
        <is>
          <t>Tata</t>
        </is>
      </c>
      <c r="C2142" s="233" t="inlineStr">
        <is>
          <t>Punch</t>
        </is>
      </c>
      <c r="D2142" s="234" t="inlineStr">
        <is>
          <t>Punch Adventure</t>
        </is>
      </c>
      <c r="E2142" s="235" t="inlineStr">
        <is>
          <t>Daytona Grey</t>
        </is>
      </c>
    </row>
    <row r="2143" ht="15" customHeight="1">
      <c r="A2143" s="231" t="n">
        <v>2139</v>
      </c>
      <c r="B2143" s="232" t="inlineStr">
        <is>
          <t>Tata</t>
        </is>
      </c>
      <c r="C2143" s="233" t="inlineStr">
        <is>
          <t>Punch</t>
        </is>
      </c>
      <c r="D2143" s="234" t="inlineStr">
        <is>
          <t>Punch Adventure</t>
        </is>
      </c>
      <c r="E2143" s="235" t="inlineStr">
        <is>
          <t>Pristine White</t>
        </is>
      </c>
    </row>
    <row r="2144" ht="15" customHeight="1">
      <c r="A2144" s="231" t="n">
        <v>2140</v>
      </c>
      <c r="B2144" s="232" t="inlineStr">
        <is>
          <t>Tata</t>
        </is>
      </c>
      <c r="C2144" s="233" t="inlineStr">
        <is>
          <t>Punch</t>
        </is>
      </c>
      <c r="D2144" s="234" t="inlineStr">
        <is>
          <t>Punch Adventure (S)</t>
        </is>
      </c>
      <c r="E2144" s="235" t="inlineStr">
        <is>
          <t>Bengal Rouge</t>
        </is>
      </c>
    </row>
    <row r="2145" ht="15" customHeight="1">
      <c r="A2145" s="231" t="n">
        <v>2141</v>
      </c>
      <c r="B2145" s="232" t="inlineStr">
        <is>
          <t>Tata</t>
        </is>
      </c>
      <c r="C2145" s="233" t="inlineStr">
        <is>
          <t>Punch</t>
        </is>
      </c>
      <c r="D2145" s="234" t="inlineStr">
        <is>
          <t>Punch Adventure (S)</t>
        </is>
      </c>
      <c r="E2145" s="235" t="inlineStr">
        <is>
          <t>Caramel</t>
        </is>
      </c>
    </row>
    <row r="2146" ht="15" customHeight="1">
      <c r="A2146" s="231" t="n">
        <v>2142</v>
      </c>
      <c r="B2146" s="232" t="inlineStr">
        <is>
          <t>Tata</t>
        </is>
      </c>
      <c r="C2146" s="233" t="inlineStr">
        <is>
          <t>Punch</t>
        </is>
      </c>
      <c r="D2146" s="234" t="inlineStr">
        <is>
          <t>Punch Adventure (S)</t>
        </is>
      </c>
      <c r="E2146" s="235" t="inlineStr">
        <is>
          <t>Coorg Clouds</t>
        </is>
      </c>
    </row>
    <row r="2147" ht="15" customHeight="1">
      <c r="A2147" s="231" t="n">
        <v>2143</v>
      </c>
      <c r="B2147" s="232" t="inlineStr">
        <is>
          <t>Tata</t>
        </is>
      </c>
      <c r="C2147" s="233" t="inlineStr">
        <is>
          <t>Punch</t>
        </is>
      </c>
      <c r="D2147" s="234" t="inlineStr">
        <is>
          <t>Punch Adventure (S)</t>
        </is>
      </c>
      <c r="E2147" s="235" t="inlineStr">
        <is>
          <t>Cyantafic Blue</t>
        </is>
      </c>
    </row>
    <row r="2148" ht="15" customHeight="1">
      <c r="A2148" s="231" t="n">
        <v>2144</v>
      </c>
      <c r="B2148" s="232" t="inlineStr">
        <is>
          <t>Tata</t>
        </is>
      </c>
      <c r="C2148" s="233" t="inlineStr">
        <is>
          <t>Punch</t>
        </is>
      </c>
      <c r="D2148" s="234" t="inlineStr">
        <is>
          <t>Punch Adventure (S)</t>
        </is>
      </c>
      <c r="E2148" s="235" t="inlineStr">
        <is>
          <t>Daytona Grey</t>
        </is>
      </c>
    </row>
    <row r="2149" ht="15" customHeight="1">
      <c r="A2149" s="231" t="n">
        <v>2145</v>
      </c>
      <c r="B2149" s="232" t="inlineStr">
        <is>
          <t>Tata</t>
        </is>
      </c>
      <c r="C2149" s="233" t="inlineStr">
        <is>
          <t>Punch</t>
        </is>
      </c>
      <c r="D2149" s="234" t="inlineStr">
        <is>
          <t>Punch Adventure (S)</t>
        </is>
      </c>
      <c r="E2149" s="235" t="inlineStr">
        <is>
          <t>Pristine White</t>
        </is>
      </c>
    </row>
    <row r="2150" ht="15" customHeight="1">
      <c r="A2150" s="231" t="n">
        <v>2146</v>
      </c>
      <c r="B2150" s="232" t="inlineStr">
        <is>
          <t>Tata</t>
        </is>
      </c>
      <c r="C2150" s="233" t="inlineStr">
        <is>
          <t>Punch</t>
        </is>
      </c>
      <c r="D2150" s="234" t="inlineStr">
        <is>
          <t>Punch Pure</t>
        </is>
      </c>
      <c r="E2150" s="235" t="inlineStr">
        <is>
          <t>Bengal Rouge</t>
        </is>
      </c>
    </row>
    <row r="2151" ht="15" customHeight="1">
      <c r="A2151" s="231" t="n">
        <v>2147</v>
      </c>
      <c r="B2151" s="232" t="inlineStr">
        <is>
          <t>Tata</t>
        </is>
      </c>
      <c r="C2151" s="233" t="inlineStr">
        <is>
          <t>Punch</t>
        </is>
      </c>
      <c r="D2151" s="234" t="inlineStr">
        <is>
          <t>Punch Pure</t>
        </is>
      </c>
      <c r="E2151" s="235" t="inlineStr">
        <is>
          <t>Caramel</t>
        </is>
      </c>
    </row>
    <row r="2152" ht="15" customHeight="1">
      <c r="A2152" s="231" t="n">
        <v>2148</v>
      </c>
      <c r="B2152" s="232" t="inlineStr">
        <is>
          <t>Tata</t>
        </is>
      </c>
      <c r="C2152" s="233" t="inlineStr">
        <is>
          <t>Punch</t>
        </is>
      </c>
      <c r="D2152" s="234" t="inlineStr">
        <is>
          <t>Punch Pure</t>
        </is>
      </c>
      <c r="E2152" s="235" t="inlineStr">
        <is>
          <t>Coorg Clouds</t>
        </is>
      </c>
    </row>
    <row r="2153" ht="15" customHeight="1">
      <c r="A2153" s="231" t="n">
        <v>2149</v>
      </c>
      <c r="B2153" s="232" t="inlineStr">
        <is>
          <t>Tata</t>
        </is>
      </c>
      <c r="C2153" s="233" t="inlineStr">
        <is>
          <t>Punch</t>
        </is>
      </c>
      <c r="D2153" s="234" t="inlineStr">
        <is>
          <t>Punch Pure</t>
        </is>
      </c>
      <c r="E2153" s="235" t="inlineStr">
        <is>
          <t>Cyantafic Blue</t>
        </is>
      </c>
    </row>
    <row r="2154" ht="15" customHeight="1">
      <c r="A2154" s="231" t="n">
        <v>2150</v>
      </c>
      <c r="B2154" s="232" t="inlineStr">
        <is>
          <t>Tata</t>
        </is>
      </c>
      <c r="C2154" s="233" t="inlineStr">
        <is>
          <t>Punch</t>
        </is>
      </c>
      <c r="D2154" s="234" t="inlineStr">
        <is>
          <t>Punch Pure</t>
        </is>
      </c>
      <c r="E2154" s="235" t="inlineStr">
        <is>
          <t>Daytona Grey</t>
        </is>
      </c>
    </row>
    <row r="2155" ht="15" customHeight="1">
      <c r="A2155" s="231" t="n">
        <v>2151</v>
      </c>
      <c r="B2155" s="232" t="inlineStr">
        <is>
          <t>Tata</t>
        </is>
      </c>
      <c r="C2155" s="233" t="inlineStr">
        <is>
          <t>Punch</t>
        </is>
      </c>
      <c r="D2155" s="234" t="inlineStr">
        <is>
          <t>Punch Pure</t>
        </is>
      </c>
      <c r="E2155" s="235" t="inlineStr">
        <is>
          <t>Pristine White</t>
        </is>
      </c>
    </row>
    <row r="2156" ht="15" customHeight="1">
      <c r="A2156" s="231" t="n">
        <v>2152</v>
      </c>
      <c r="B2156" s="232" t="inlineStr">
        <is>
          <t>Tata</t>
        </is>
      </c>
      <c r="C2156" s="233" t="inlineStr">
        <is>
          <t>Punch</t>
        </is>
      </c>
      <c r="D2156" s="234" t="inlineStr">
        <is>
          <t>Punch Pure Plus</t>
        </is>
      </c>
      <c r="E2156" s="235" t="inlineStr">
        <is>
          <t>Bengal Rouge</t>
        </is>
      </c>
    </row>
    <row r="2157" ht="15" customHeight="1">
      <c r="A2157" s="231" t="n">
        <v>2153</v>
      </c>
      <c r="B2157" s="232" t="inlineStr">
        <is>
          <t>Tata</t>
        </is>
      </c>
      <c r="C2157" s="233" t="inlineStr">
        <is>
          <t>Punch</t>
        </is>
      </c>
      <c r="D2157" s="234" t="inlineStr">
        <is>
          <t>Punch Pure Plus</t>
        </is>
      </c>
      <c r="E2157" s="235" t="inlineStr">
        <is>
          <t>Caramel</t>
        </is>
      </c>
    </row>
    <row r="2158" ht="15" customHeight="1">
      <c r="A2158" s="231" t="n">
        <v>2154</v>
      </c>
      <c r="B2158" s="232" t="inlineStr">
        <is>
          <t>Tata</t>
        </is>
      </c>
      <c r="C2158" s="233" t="inlineStr">
        <is>
          <t>Punch</t>
        </is>
      </c>
      <c r="D2158" s="234" t="inlineStr">
        <is>
          <t>Punch Pure Plus</t>
        </is>
      </c>
      <c r="E2158" s="235" t="inlineStr">
        <is>
          <t>Coorg Clouds</t>
        </is>
      </c>
    </row>
    <row r="2159" ht="15" customHeight="1">
      <c r="A2159" s="231" t="n">
        <v>2155</v>
      </c>
      <c r="B2159" s="232" t="inlineStr">
        <is>
          <t>Tata</t>
        </is>
      </c>
      <c r="C2159" s="233" t="inlineStr">
        <is>
          <t>Punch</t>
        </is>
      </c>
      <c r="D2159" s="234" t="inlineStr">
        <is>
          <t>Punch Pure Plus</t>
        </is>
      </c>
      <c r="E2159" s="235" t="inlineStr">
        <is>
          <t>Cyantafic Blue</t>
        </is>
      </c>
    </row>
    <row r="2160" ht="15" customHeight="1">
      <c r="A2160" s="231" t="n">
        <v>2156</v>
      </c>
      <c r="B2160" s="232" t="inlineStr">
        <is>
          <t>Tata</t>
        </is>
      </c>
      <c r="C2160" s="233" t="inlineStr">
        <is>
          <t>Punch</t>
        </is>
      </c>
      <c r="D2160" s="234" t="inlineStr">
        <is>
          <t>Punch Pure Plus</t>
        </is>
      </c>
      <c r="E2160" s="235" t="inlineStr">
        <is>
          <t>Daytona Grey</t>
        </is>
      </c>
    </row>
    <row r="2161" ht="15" customHeight="1">
      <c r="A2161" s="231" t="n">
        <v>2157</v>
      </c>
      <c r="B2161" s="232" t="inlineStr">
        <is>
          <t>Tata</t>
        </is>
      </c>
      <c r="C2161" s="233" t="inlineStr">
        <is>
          <t>Punch</t>
        </is>
      </c>
      <c r="D2161" s="234" t="inlineStr">
        <is>
          <t>Punch Pure Plus</t>
        </is>
      </c>
      <c r="E2161" s="235" t="inlineStr">
        <is>
          <t>Pristine White</t>
        </is>
      </c>
    </row>
    <row r="2162" ht="15" customHeight="1">
      <c r="A2162" s="231" t="n">
        <v>2158</v>
      </c>
      <c r="B2162" s="232" t="inlineStr">
        <is>
          <t>Tata</t>
        </is>
      </c>
      <c r="C2162" s="233" t="inlineStr">
        <is>
          <t>Punch</t>
        </is>
      </c>
      <c r="D2162" s="234" t="inlineStr">
        <is>
          <t>Punch Pure Plus (S)</t>
        </is>
      </c>
      <c r="E2162" s="235" t="inlineStr">
        <is>
          <t>Bengal Rouge</t>
        </is>
      </c>
    </row>
    <row r="2163" ht="15" customHeight="1">
      <c r="A2163" s="231" t="n">
        <v>2159</v>
      </c>
      <c r="B2163" s="232" t="inlineStr">
        <is>
          <t>Tata</t>
        </is>
      </c>
      <c r="C2163" s="233" t="inlineStr">
        <is>
          <t>Punch</t>
        </is>
      </c>
      <c r="D2163" s="234" t="inlineStr">
        <is>
          <t>Punch Pure Plus (S)</t>
        </is>
      </c>
      <c r="E2163" s="235" t="inlineStr">
        <is>
          <t>Caramel</t>
        </is>
      </c>
    </row>
    <row r="2164" ht="15" customHeight="1">
      <c r="A2164" s="231" t="n">
        <v>2160</v>
      </c>
      <c r="B2164" s="232" t="inlineStr">
        <is>
          <t>Tata</t>
        </is>
      </c>
      <c r="C2164" s="233" t="inlineStr">
        <is>
          <t>Punch</t>
        </is>
      </c>
      <c r="D2164" s="234" t="inlineStr">
        <is>
          <t>Punch Pure Plus (S)</t>
        </is>
      </c>
      <c r="E2164" s="235" t="inlineStr">
        <is>
          <t>Coorg Clouds</t>
        </is>
      </c>
    </row>
    <row r="2165" ht="15" customHeight="1">
      <c r="A2165" s="231" t="n">
        <v>2161</v>
      </c>
      <c r="B2165" s="232" t="inlineStr">
        <is>
          <t>Tata</t>
        </is>
      </c>
      <c r="C2165" s="233" t="inlineStr">
        <is>
          <t>Punch</t>
        </is>
      </c>
      <c r="D2165" s="234" t="inlineStr">
        <is>
          <t>Punch Pure Plus (S)</t>
        </is>
      </c>
      <c r="E2165" s="235" t="inlineStr">
        <is>
          <t>Cyantafic Blue</t>
        </is>
      </c>
    </row>
    <row r="2166" ht="15" customHeight="1">
      <c r="A2166" s="231" t="n">
        <v>2162</v>
      </c>
      <c r="B2166" s="232" t="inlineStr">
        <is>
          <t>Tata</t>
        </is>
      </c>
      <c r="C2166" s="233" t="inlineStr">
        <is>
          <t>Punch</t>
        </is>
      </c>
      <c r="D2166" s="234" t="inlineStr">
        <is>
          <t>Punch Pure Plus (S)</t>
        </is>
      </c>
      <c r="E2166" s="235" t="inlineStr">
        <is>
          <t>Daytona Grey</t>
        </is>
      </c>
    </row>
    <row r="2167" ht="15" customHeight="1">
      <c r="A2167" s="231" t="n">
        <v>2163</v>
      </c>
      <c r="B2167" s="232" t="inlineStr">
        <is>
          <t>Tata</t>
        </is>
      </c>
      <c r="C2167" s="233" t="inlineStr">
        <is>
          <t>Punch</t>
        </is>
      </c>
      <c r="D2167" s="234" t="inlineStr">
        <is>
          <t>Punch Pure Plus (S)</t>
        </is>
      </c>
      <c r="E2167" s="235" t="inlineStr">
        <is>
          <t>Pristine White</t>
        </is>
      </c>
    </row>
    <row r="2168" ht="15" customHeight="1">
      <c r="A2168" s="231" t="n">
        <v>2164</v>
      </c>
      <c r="B2168" s="232" t="inlineStr">
        <is>
          <t>Tata</t>
        </is>
      </c>
      <c r="C2168" s="233" t="inlineStr">
        <is>
          <t>Punch</t>
        </is>
      </c>
      <c r="D2168" s="234" t="inlineStr">
        <is>
          <t>Punch Smart</t>
        </is>
      </c>
      <c r="E2168" s="235" t="inlineStr">
        <is>
          <t>Bengal Rouge</t>
        </is>
      </c>
    </row>
    <row r="2169" ht="15" customHeight="1">
      <c r="A2169" s="231" t="n">
        <v>2165</v>
      </c>
      <c r="B2169" s="232" t="inlineStr">
        <is>
          <t>Tata</t>
        </is>
      </c>
      <c r="C2169" s="233" t="inlineStr">
        <is>
          <t>Punch</t>
        </is>
      </c>
      <c r="D2169" s="234" t="inlineStr">
        <is>
          <t>Punch Smart</t>
        </is>
      </c>
      <c r="E2169" s="235" t="inlineStr">
        <is>
          <t>Coorg Clouds</t>
        </is>
      </c>
    </row>
    <row r="2170" ht="15" customHeight="1">
      <c r="A2170" s="231" t="n">
        <v>2166</v>
      </c>
      <c r="B2170" s="232" t="inlineStr">
        <is>
          <t>Tata</t>
        </is>
      </c>
      <c r="C2170" s="233" t="inlineStr">
        <is>
          <t>Punch</t>
        </is>
      </c>
      <c r="D2170" s="234" t="inlineStr">
        <is>
          <t>Punch Smart</t>
        </is>
      </c>
      <c r="E2170" s="235" t="inlineStr">
        <is>
          <t>Daytona Grey</t>
        </is>
      </c>
    </row>
    <row r="2171" ht="15" customHeight="1">
      <c r="A2171" s="231" t="n">
        <v>2167</v>
      </c>
      <c r="B2171" s="232" t="inlineStr">
        <is>
          <t>Tata</t>
        </is>
      </c>
      <c r="C2171" s="233" t="inlineStr">
        <is>
          <t>Punch</t>
        </is>
      </c>
      <c r="D2171" s="234" t="inlineStr">
        <is>
          <t>Punch Smart</t>
        </is>
      </c>
      <c r="E2171" s="235" t="inlineStr">
        <is>
          <t>Pristine White</t>
        </is>
      </c>
    </row>
    <row r="2172" ht="15" customHeight="1">
      <c r="A2172" s="231" t="n">
        <v>2168</v>
      </c>
      <c r="B2172" s="232" t="inlineStr">
        <is>
          <t>Tata</t>
        </is>
      </c>
      <c r="C2172" s="233" t="inlineStr">
        <is>
          <t>Safari</t>
        </is>
      </c>
      <c r="D2172" s="234" t="inlineStr">
        <is>
          <t>Safari Accomplished Ultra</t>
        </is>
      </c>
      <c r="E2172" s="235" t="inlineStr">
        <is>
          <t>Frost White With Dual Tone</t>
        </is>
      </c>
    </row>
    <row r="2173" ht="15" customHeight="1">
      <c r="A2173" s="231" t="n">
        <v>2169</v>
      </c>
      <c r="B2173" s="232" t="inlineStr">
        <is>
          <t>Tata</t>
        </is>
      </c>
      <c r="C2173" s="233" t="inlineStr">
        <is>
          <t>Safari</t>
        </is>
      </c>
      <c r="D2173" s="234" t="inlineStr">
        <is>
          <t>Safari Accomplished Ultra Red Dark</t>
        </is>
      </c>
      <c r="E2173" s="235" t="inlineStr">
        <is>
          <t>Ulta_red_dark</t>
        </is>
      </c>
    </row>
    <row r="2174" ht="15" customHeight="1">
      <c r="A2174" s="231" t="n">
        <v>2170</v>
      </c>
      <c r="B2174" s="232" t="inlineStr">
        <is>
          <t>Tata</t>
        </is>
      </c>
      <c r="C2174" s="233" t="inlineStr">
        <is>
          <t>Safari</t>
        </is>
      </c>
      <c r="D2174" s="234" t="inlineStr">
        <is>
          <t>Safari Accomplished X</t>
        </is>
      </c>
      <c r="E2174" s="235" t="inlineStr">
        <is>
          <t>Cosmic Gold With Dual Ton</t>
        </is>
      </c>
    </row>
    <row r="2175" ht="15" customHeight="1">
      <c r="A2175" s="231" t="n">
        <v>2171</v>
      </c>
      <c r="B2175" s="232" t="inlineStr">
        <is>
          <t>Tata</t>
        </is>
      </c>
      <c r="C2175" s="233" t="inlineStr">
        <is>
          <t>Safari</t>
        </is>
      </c>
      <c r="D2175" s="234" t="inlineStr">
        <is>
          <t>Safari Accomplished X</t>
        </is>
      </c>
      <c r="E2175" s="235" t="inlineStr">
        <is>
          <t>Daytona Grey With Dual Tone</t>
        </is>
      </c>
    </row>
    <row r="2176" ht="15" customHeight="1">
      <c r="A2176" s="231" t="n">
        <v>2172</v>
      </c>
      <c r="B2176" s="232" t="inlineStr">
        <is>
          <t>Tata</t>
        </is>
      </c>
      <c r="C2176" s="233" t="inlineStr">
        <is>
          <t>Safari</t>
        </is>
      </c>
      <c r="D2176" s="234" t="inlineStr">
        <is>
          <t>Safari Accomplished X</t>
        </is>
      </c>
      <c r="E2176" s="235" t="inlineStr">
        <is>
          <t>Frost White With Dual Tone</t>
        </is>
      </c>
    </row>
    <row r="2177" ht="15" customHeight="1">
      <c r="A2177" s="231" t="n">
        <v>2173</v>
      </c>
      <c r="B2177" s="232" t="inlineStr">
        <is>
          <t>Tata</t>
        </is>
      </c>
      <c r="C2177" s="233" t="inlineStr">
        <is>
          <t>Safari</t>
        </is>
      </c>
      <c r="D2177" s="234" t="inlineStr">
        <is>
          <t>Safari Accomplished X</t>
        </is>
      </c>
      <c r="E2177" s="235" t="inlineStr">
        <is>
          <t>Pure Grey With Dual Tone</t>
        </is>
      </c>
    </row>
    <row r="2178" ht="15" customHeight="1">
      <c r="A2178" s="231" t="n">
        <v>2174</v>
      </c>
      <c r="B2178" s="232" t="inlineStr">
        <is>
          <t>Tata</t>
        </is>
      </c>
      <c r="C2178" s="233" t="inlineStr">
        <is>
          <t>Safari</t>
        </is>
      </c>
      <c r="D2178" s="234" t="inlineStr">
        <is>
          <t>Safari Accomplished X</t>
        </is>
      </c>
      <c r="E2178" s="235" t="inlineStr">
        <is>
          <t>Royal Blue With Dual Tone</t>
        </is>
      </c>
    </row>
    <row r="2179" ht="15" customHeight="1">
      <c r="A2179" s="231" t="n">
        <v>2175</v>
      </c>
      <c r="B2179" s="232" t="inlineStr">
        <is>
          <t>Tata</t>
        </is>
      </c>
      <c r="C2179" s="233" t="inlineStr">
        <is>
          <t>Safari</t>
        </is>
      </c>
      <c r="D2179" s="234" t="inlineStr">
        <is>
          <t>Safari Accomplished X</t>
        </is>
      </c>
      <c r="E2179" s="235" t="inlineStr">
        <is>
          <t>Supernova Copper With Dual Tone</t>
        </is>
      </c>
    </row>
    <row r="2180" ht="15" customHeight="1">
      <c r="A2180" s="231" t="n">
        <v>2176</v>
      </c>
      <c r="B2180" s="232" t="inlineStr">
        <is>
          <t>Tata</t>
        </is>
      </c>
      <c r="C2180" s="233" t="inlineStr">
        <is>
          <t>Safari</t>
        </is>
      </c>
      <c r="D2180" s="234" t="inlineStr">
        <is>
          <t>Safari Accomplished X Dark</t>
        </is>
      </c>
      <c r="E2180" s="235" t="inlineStr">
        <is>
          <t>Carbon Black</t>
        </is>
      </c>
    </row>
    <row r="2181" ht="15" customHeight="1">
      <c r="A2181" s="231" t="n">
        <v>2177</v>
      </c>
      <c r="B2181" s="232" t="inlineStr">
        <is>
          <t>Tata</t>
        </is>
      </c>
      <c r="C2181" s="233" t="inlineStr">
        <is>
          <t>Safari</t>
        </is>
      </c>
      <c r="D2181" s="234" t="inlineStr">
        <is>
          <t>Safari Accomplished X Plus</t>
        </is>
      </c>
      <c r="E2181" s="235" t="inlineStr">
        <is>
          <t>Carbon Black</t>
        </is>
      </c>
    </row>
    <row r="2182" ht="15" customHeight="1">
      <c r="A2182" s="231" t="n">
        <v>2178</v>
      </c>
      <c r="B2182" s="232" t="inlineStr">
        <is>
          <t>Tata</t>
        </is>
      </c>
      <c r="C2182" s="233" t="inlineStr">
        <is>
          <t>Safari</t>
        </is>
      </c>
      <c r="D2182" s="234" t="inlineStr">
        <is>
          <t>Safari Accomplished X Plus</t>
        </is>
      </c>
      <c r="E2182" s="235" t="inlineStr">
        <is>
          <t>Cosmic Gold With Dual Tone</t>
        </is>
      </c>
    </row>
    <row r="2183" ht="15" customHeight="1">
      <c r="A2183" s="231" t="n">
        <v>2179</v>
      </c>
      <c r="B2183" s="232" t="inlineStr">
        <is>
          <t>Tata</t>
        </is>
      </c>
      <c r="C2183" s="233" t="inlineStr">
        <is>
          <t>Safari</t>
        </is>
      </c>
      <c r="D2183" s="234" t="inlineStr">
        <is>
          <t>Safari Accomplished X Plus</t>
        </is>
      </c>
      <c r="E2183" s="235" t="inlineStr">
        <is>
          <t>Daytona Grey With Dual Tone</t>
        </is>
      </c>
    </row>
    <row r="2184" ht="15" customHeight="1">
      <c r="A2184" s="231" t="n">
        <v>2180</v>
      </c>
      <c r="B2184" s="232" t="inlineStr">
        <is>
          <t>Tata</t>
        </is>
      </c>
      <c r="C2184" s="233" t="inlineStr">
        <is>
          <t>Safari</t>
        </is>
      </c>
      <c r="D2184" s="234" t="inlineStr">
        <is>
          <t>Safari Accomplished X Plus</t>
        </is>
      </c>
      <c r="E2184" s="235" t="inlineStr">
        <is>
          <t>Frost White With Dual Tone</t>
        </is>
      </c>
    </row>
    <row r="2185" ht="15" customHeight="1">
      <c r="A2185" s="231" t="n">
        <v>2181</v>
      </c>
      <c r="B2185" s="232" t="inlineStr">
        <is>
          <t>Tata</t>
        </is>
      </c>
      <c r="C2185" s="233" t="inlineStr">
        <is>
          <t>Safari</t>
        </is>
      </c>
      <c r="D2185" s="234" t="inlineStr">
        <is>
          <t>Safari Accomplished X Plus</t>
        </is>
      </c>
      <c r="E2185" s="235" t="inlineStr">
        <is>
          <t>Pure Grey With Dual Tone</t>
        </is>
      </c>
    </row>
    <row r="2186" ht="15" customHeight="1">
      <c r="A2186" s="231" t="n">
        <v>2182</v>
      </c>
      <c r="B2186" s="232" t="inlineStr">
        <is>
          <t>Tata</t>
        </is>
      </c>
      <c r="C2186" s="233" t="inlineStr">
        <is>
          <t>Safari</t>
        </is>
      </c>
      <c r="D2186" s="234" t="inlineStr">
        <is>
          <t>Safari Accomplished X Plus</t>
        </is>
      </c>
      <c r="E2186" s="235" t="inlineStr">
        <is>
          <t>Royal Blue With Dual Tone</t>
        </is>
      </c>
    </row>
    <row r="2187" ht="15" customHeight="1">
      <c r="A2187" s="231" t="n">
        <v>2183</v>
      </c>
      <c r="B2187" s="232" t="inlineStr">
        <is>
          <t>Tata</t>
        </is>
      </c>
      <c r="C2187" s="233" t="inlineStr">
        <is>
          <t>Safari</t>
        </is>
      </c>
      <c r="D2187" s="234" t="inlineStr">
        <is>
          <t>Safari Accomplished X Plus</t>
        </is>
      </c>
      <c r="E2187" s="235" t="inlineStr">
        <is>
          <t>Supernova Copper With Dual Tone</t>
        </is>
      </c>
    </row>
    <row r="2188" ht="15" customHeight="1">
      <c r="A2188" s="231" t="n">
        <v>2184</v>
      </c>
      <c r="B2188" s="232" t="inlineStr">
        <is>
          <t>Tata</t>
        </is>
      </c>
      <c r="C2188" s="233" t="inlineStr">
        <is>
          <t>Safari</t>
        </is>
      </c>
      <c r="D2188" s="234" t="inlineStr">
        <is>
          <t>Safari Accomplished X Plus Dark</t>
        </is>
      </c>
      <c r="E2188" s="235" t="inlineStr">
        <is>
          <t>Carbon Black</t>
        </is>
      </c>
    </row>
    <row r="2189" ht="15" customHeight="1">
      <c r="A2189" s="231" t="n">
        <v>2185</v>
      </c>
      <c r="B2189" s="232" t="inlineStr">
        <is>
          <t>Tata</t>
        </is>
      </c>
      <c r="C2189" s="233" t="inlineStr">
        <is>
          <t>Safari</t>
        </is>
      </c>
      <c r="D2189" s="234" t="inlineStr">
        <is>
          <t>Safari Accomplished X Plus Stealth Edition</t>
        </is>
      </c>
      <c r="E2189" s="235" t="inlineStr">
        <is>
          <t>Stealth Black</t>
        </is>
      </c>
    </row>
    <row r="2190" ht="15" customHeight="1">
      <c r="A2190" s="231" t="n">
        <v>2186</v>
      </c>
      <c r="B2190" s="232" t="inlineStr">
        <is>
          <t>Tata</t>
        </is>
      </c>
      <c r="C2190" s="233" t="inlineStr">
        <is>
          <t>Safari</t>
        </is>
      </c>
      <c r="D2190" s="234" t="inlineStr">
        <is>
          <t>Safari Adventure X Plus</t>
        </is>
      </c>
      <c r="E2190" s="235" t="inlineStr">
        <is>
          <t>Daytona Grey</t>
        </is>
      </c>
    </row>
    <row r="2191" ht="15" customHeight="1">
      <c r="A2191" s="231" t="n">
        <v>2187</v>
      </c>
      <c r="B2191" s="232" t="inlineStr">
        <is>
          <t>Tata</t>
        </is>
      </c>
      <c r="C2191" s="233" t="inlineStr">
        <is>
          <t>Safari</t>
        </is>
      </c>
      <c r="D2191" s="234" t="inlineStr">
        <is>
          <t>Safari Adventure X Plus</t>
        </is>
      </c>
      <c r="E2191" s="235" t="inlineStr">
        <is>
          <t>Frost White</t>
        </is>
      </c>
    </row>
    <row r="2192" ht="15" customHeight="1">
      <c r="A2192" s="231" t="n">
        <v>2188</v>
      </c>
      <c r="B2192" s="232" t="inlineStr">
        <is>
          <t>Tata</t>
        </is>
      </c>
      <c r="C2192" s="233" t="inlineStr">
        <is>
          <t>Safari</t>
        </is>
      </c>
      <c r="D2192" s="234" t="inlineStr">
        <is>
          <t>Safari Adventure X Plus</t>
        </is>
      </c>
      <c r="E2192" s="235" t="inlineStr">
        <is>
          <t>Pure Grey</t>
        </is>
      </c>
    </row>
    <row r="2193" ht="15" customHeight="1">
      <c r="A2193" s="231" t="n">
        <v>2189</v>
      </c>
      <c r="B2193" s="232" t="inlineStr">
        <is>
          <t>Tata</t>
        </is>
      </c>
      <c r="C2193" s="233" t="inlineStr">
        <is>
          <t>Safari</t>
        </is>
      </c>
      <c r="D2193" s="234" t="inlineStr">
        <is>
          <t>Safari Adventure X Plus</t>
        </is>
      </c>
      <c r="E2193" s="235" t="inlineStr">
        <is>
          <t>Royal Blue</t>
        </is>
      </c>
    </row>
    <row r="2194" ht="15" customHeight="1">
      <c r="A2194" s="231" t="n">
        <v>2190</v>
      </c>
      <c r="B2194" s="232" t="inlineStr">
        <is>
          <t>Tata</t>
        </is>
      </c>
      <c r="C2194" s="233" t="inlineStr">
        <is>
          <t>Safari</t>
        </is>
      </c>
      <c r="D2194" s="234" t="inlineStr">
        <is>
          <t>Safari Adventure X Plus</t>
        </is>
      </c>
      <c r="E2194" s="235" t="inlineStr">
        <is>
          <t>Supernova Copper</t>
        </is>
      </c>
    </row>
    <row r="2195" ht="15" customHeight="1">
      <c r="A2195" s="231" t="n">
        <v>2191</v>
      </c>
      <c r="B2195" s="232" t="inlineStr">
        <is>
          <t>Tata</t>
        </is>
      </c>
      <c r="C2195" s="233" t="inlineStr">
        <is>
          <t>Safari</t>
        </is>
      </c>
      <c r="D2195" s="234" t="inlineStr">
        <is>
          <t>Safari Adventure X Plus Dark</t>
        </is>
      </c>
      <c r="E2195" s="235" t="inlineStr">
        <is>
          <t>Carbon Black</t>
        </is>
      </c>
    </row>
    <row r="2196" ht="15" customHeight="1">
      <c r="A2196" s="231" t="n">
        <v>2192</v>
      </c>
      <c r="B2196" s="232" t="inlineStr">
        <is>
          <t>Tata</t>
        </is>
      </c>
      <c r="C2196" s="233" t="inlineStr">
        <is>
          <t>Safari</t>
        </is>
      </c>
      <c r="D2196" s="234" t="inlineStr">
        <is>
          <t>Safari Pure X</t>
        </is>
      </c>
      <c r="E2196" s="235" t="inlineStr">
        <is>
          <t>Daytona Grey</t>
        </is>
      </c>
    </row>
    <row r="2197" ht="15" customHeight="1">
      <c r="A2197" s="231" t="n">
        <v>2193</v>
      </c>
      <c r="B2197" s="232" t="inlineStr">
        <is>
          <t>Tata</t>
        </is>
      </c>
      <c r="C2197" s="233" t="inlineStr">
        <is>
          <t>Safari</t>
        </is>
      </c>
      <c r="D2197" s="234" t="inlineStr">
        <is>
          <t>Safari Pure X</t>
        </is>
      </c>
      <c r="E2197" s="235" t="inlineStr">
        <is>
          <t>Frost White</t>
        </is>
      </c>
    </row>
    <row r="2198" ht="15" customHeight="1">
      <c r="A2198" s="231" t="n">
        <v>2194</v>
      </c>
      <c r="B2198" s="232" t="inlineStr">
        <is>
          <t>Tata</t>
        </is>
      </c>
      <c r="C2198" s="233" t="inlineStr">
        <is>
          <t>Safari</t>
        </is>
      </c>
      <c r="D2198" s="234" t="inlineStr">
        <is>
          <t>Safari Pure X</t>
        </is>
      </c>
      <c r="E2198" s="235" t="inlineStr">
        <is>
          <t>Pure Grey</t>
        </is>
      </c>
    </row>
    <row r="2199" ht="15" customHeight="1">
      <c r="A2199" s="231" t="n">
        <v>2195</v>
      </c>
      <c r="B2199" s="232" t="inlineStr">
        <is>
          <t>Tata</t>
        </is>
      </c>
      <c r="C2199" s="233" t="inlineStr">
        <is>
          <t>Safari</t>
        </is>
      </c>
      <c r="D2199" s="234" t="inlineStr">
        <is>
          <t>Safari Pure X</t>
        </is>
      </c>
      <c r="E2199" s="235" t="inlineStr">
        <is>
          <t>Royal Blue</t>
        </is>
      </c>
    </row>
    <row r="2200" ht="15" customHeight="1">
      <c r="A2200" s="231" t="n">
        <v>2196</v>
      </c>
      <c r="B2200" s="232" t="inlineStr">
        <is>
          <t>Tata</t>
        </is>
      </c>
      <c r="C2200" s="233" t="inlineStr">
        <is>
          <t>Safari</t>
        </is>
      </c>
      <c r="D2200" s="234" t="inlineStr">
        <is>
          <t>Safari Pure X Dark</t>
        </is>
      </c>
      <c r="E2200" s="235" t="inlineStr">
        <is>
          <t>Carbon Black</t>
        </is>
      </c>
    </row>
    <row r="2201" ht="15" customHeight="1">
      <c r="A2201" s="231" t="n">
        <v>2197</v>
      </c>
      <c r="B2201" s="232" t="inlineStr">
        <is>
          <t>Tata</t>
        </is>
      </c>
      <c r="C2201" s="233" t="inlineStr">
        <is>
          <t>Safari</t>
        </is>
      </c>
      <c r="D2201" s="234" t="inlineStr">
        <is>
          <t>Safari Pure X Dark Edition</t>
        </is>
      </c>
      <c r="E2201" s="235" t="inlineStr">
        <is>
          <t>Carbon Black</t>
        </is>
      </c>
    </row>
    <row r="2202" ht="15" customHeight="1">
      <c r="A2202" s="231" t="n">
        <v>2198</v>
      </c>
      <c r="B2202" s="232" t="inlineStr">
        <is>
          <t>Tata</t>
        </is>
      </c>
      <c r="C2202" s="233" t="inlineStr">
        <is>
          <t>Safari</t>
        </is>
      </c>
      <c r="D2202" s="234" t="inlineStr">
        <is>
          <t>Safari Smart</t>
        </is>
      </c>
      <c r="E2202" s="235" t="inlineStr">
        <is>
          <t>Daytona Grey</t>
        </is>
      </c>
    </row>
    <row r="2203" ht="15" customHeight="1">
      <c r="A2203" s="231" t="n">
        <v>2199</v>
      </c>
      <c r="B2203" s="232" t="inlineStr">
        <is>
          <t>Tata</t>
        </is>
      </c>
      <c r="C2203" s="233" t="inlineStr">
        <is>
          <t>Safari</t>
        </is>
      </c>
      <c r="D2203" s="234" t="inlineStr">
        <is>
          <t>Safari Smart</t>
        </is>
      </c>
      <c r="E2203" s="235" t="inlineStr">
        <is>
          <t>Frost White</t>
        </is>
      </c>
    </row>
    <row r="2204" ht="15" customHeight="1">
      <c r="A2204" s="231" t="n">
        <v>2200</v>
      </c>
      <c r="B2204" s="232" t="inlineStr">
        <is>
          <t>Tata</t>
        </is>
      </c>
      <c r="C2204" s="233" t="inlineStr">
        <is>
          <t>Safari</t>
        </is>
      </c>
      <c r="D2204" s="234" t="inlineStr">
        <is>
          <t>Safari Smart</t>
        </is>
      </c>
      <c r="E2204" s="235" t="inlineStr">
        <is>
          <t>Pure Grey</t>
        </is>
      </c>
    </row>
    <row r="2205" ht="15" customHeight="1">
      <c r="A2205" s="231" t="n">
        <v>2201</v>
      </c>
      <c r="B2205" s="232" t="inlineStr">
        <is>
          <t>Tata</t>
        </is>
      </c>
      <c r="C2205" s="233" t="inlineStr">
        <is>
          <t>Safari</t>
        </is>
      </c>
      <c r="D2205" s="234" t="inlineStr">
        <is>
          <t>Safari Smart</t>
        </is>
      </c>
      <c r="E2205" s="235" t="inlineStr">
        <is>
          <t>Royal Blue</t>
        </is>
      </c>
    </row>
    <row r="2206" ht="15" customHeight="1">
      <c r="A2206" s="231" t="n">
        <v>2202</v>
      </c>
      <c r="B2206" s="232" t="inlineStr">
        <is>
          <t>Tata</t>
        </is>
      </c>
      <c r="C2206" s="233" t="inlineStr">
        <is>
          <t>Tiago</t>
        </is>
      </c>
      <c r="D2206" s="234" t="inlineStr">
        <is>
          <t>Tiago XE</t>
        </is>
      </c>
      <c r="E2206" s="235" t="inlineStr">
        <is>
          <t>Arizona Blue</t>
        </is>
      </c>
    </row>
    <row r="2207" ht="15" customHeight="1">
      <c r="A2207" s="231" t="n">
        <v>2203</v>
      </c>
      <c r="B2207" s="232" t="inlineStr">
        <is>
          <t>Tata</t>
        </is>
      </c>
      <c r="C2207" s="233" t="inlineStr">
        <is>
          <t>Tiago</t>
        </is>
      </c>
      <c r="D2207" s="234" t="inlineStr">
        <is>
          <t>Tiago XE</t>
        </is>
      </c>
      <c r="E2207" s="235" t="inlineStr">
        <is>
          <t>Daytona Grey</t>
        </is>
      </c>
    </row>
    <row r="2208" ht="15" customHeight="1">
      <c r="A2208" s="231" t="n">
        <v>2204</v>
      </c>
      <c r="B2208" s="232" t="inlineStr">
        <is>
          <t>Tata</t>
        </is>
      </c>
      <c r="C2208" s="233" t="inlineStr">
        <is>
          <t>Tiago</t>
        </is>
      </c>
      <c r="D2208" s="234" t="inlineStr">
        <is>
          <t>Tiago XE</t>
        </is>
      </c>
      <c r="E2208" s="235" t="inlineStr">
        <is>
          <t>Ocena Blue</t>
        </is>
      </c>
    </row>
    <row r="2209" ht="15" customHeight="1">
      <c r="A2209" s="231" t="n">
        <v>2205</v>
      </c>
      <c r="B2209" s="232" t="inlineStr">
        <is>
          <t>Tata</t>
        </is>
      </c>
      <c r="C2209" s="233" t="inlineStr">
        <is>
          <t>Tiago</t>
        </is>
      </c>
      <c r="D2209" s="234" t="inlineStr">
        <is>
          <t>Tiago XM</t>
        </is>
      </c>
      <c r="E2209" s="235" t="inlineStr">
        <is>
          <t>Arizona Blue</t>
        </is>
      </c>
    </row>
    <row r="2210" ht="15" customHeight="1">
      <c r="A2210" s="231" t="n">
        <v>2206</v>
      </c>
      <c r="B2210" s="232" t="inlineStr">
        <is>
          <t>Tata</t>
        </is>
      </c>
      <c r="C2210" s="233" t="inlineStr">
        <is>
          <t>Tiago</t>
        </is>
      </c>
      <c r="D2210" s="234" t="inlineStr">
        <is>
          <t>Tiago XM</t>
        </is>
      </c>
      <c r="E2210" s="235" t="inlineStr">
        <is>
          <t>Daytona Grey</t>
        </is>
      </c>
    </row>
    <row r="2211" ht="15" customHeight="1">
      <c r="A2211" s="231" t="n">
        <v>2207</v>
      </c>
      <c r="B2211" s="232" t="inlineStr">
        <is>
          <t>Tata</t>
        </is>
      </c>
      <c r="C2211" s="233" t="inlineStr">
        <is>
          <t>Tiago</t>
        </is>
      </c>
      <c r="D2211" s="234" t="inlineStr">
        <is>
          <t>Tiago XM</t>
        </is>
      </c>
      <c r="E2211" s="235" t="inlineStr">
        <is>
          <t>Ocena Blue</t>
        </is>
      </c>
    </row>
    <row r="2212" ht="15" customHeight="1">
      <c r="A2212" s="231" t="n">
        <v>2208</v>
      </c>
      <c r="B2212" s="232" t="inlineStr">
        <is>
          <t>Tata</t>
        </is>
      </c>
      <c r="C2212" s="233" t="inlineStr">
        <is>
          <t>Tiago</t>
        </is>
      </c>
      <c r="D2212" s="234" t="inlineStr">
        <is>
          <t>Tiago XT</t>
        </is>
      </c>
      <c r="E2212" s="235" t="inlineStr">
        <is>
          <t>Arizona Blue</t>
        </is>
      </c>
    </row>
    <row r="2213" ht="15" customHeight="1">
      <c r="A2213" s="231" t="n">
        <v>2209</v>
      </c>
      <c r="B2213" s="232" t="inlineStr">
        <is>
          <t>Tata</t>
        </is>
      </c>
      <c r="C2213" s="233" t="inlineStr">
        <is>
          <t>Tiago</t>
        </is>
      </c>
      <c r="D2213" s="234" t="inlineStr">
        <is>
          <t>Tiago XT</t>
        </is>
      </c>
      <c r="E2213" s="235" t="inlineStr">
        <is>
          <t>Daytona Grey</t>
        </is>
      </c>
    </row>
    <row r="2214" ht="15" customHeight="1">
      <c r="A2214" s="231" t="n">
        <v>2210</v>
      </c>
      <c r="B2214" s="232" t="inlineStr">
        <is>
          <t>Tata</t>
        </is>
      </c>
      <c r="C2214" s="233" t="inlineStr">
        <is>
          <t>Tiago</t>
        </is>
      </c>
      <c r="D2214" s="234" t="inlineStr">
        <is>
          <t>Tiago XT</t>
        </is>
      </c>
      <c r="E2214" s="235" t="inlineStr">
        <is>
          <t>Ocena Blue</t>
        </is>
      </c>
    </row>
    <row r="2215" ht="15" customHeight="1">
      <c r="A2215" s="231" t="n">
        <v>2211</v>
      </c>
      <c r="B2215" s="232" t="inlineStr">
        <is>
          <t>Tata</t>
        </is>
      </c>
      <c r="C2215" s="233" t="inlineStr">
        <is>
          <t>Tiago</t>
        </is>
      </c>
      <c r="D2215" s="234" t="inlineStr">
        <is>
          <t>Tiago XZ</t>
        </is>
      </c>
      <c r="E2215" s="235" t="inlineStr">
        <is>
          <t>Arizona Blue</t>
        </is>
      </c>
    </row>
    <row r="2216" ht="15" customHeight="1">
      <c r="A2216" s="231" t="n">
        <v>2212</v>
      </c>
      <c r="B2216" s="232" t="inlineStr">
        <is>
          <t>Tata</t>
        </is>
      </c>
      <c r="C2216" s="233" t="inlineStr">
        <is>
          <t>Tiago</t>
        </is>
      </c>
      <c r="D2216" s="234" t="inlineStr">
        <is>
          <t>Tiago XZ</t>
        </is>
      </c>
      <c r="E2216" s="235" t="inlineStr">
        <is>
          <t>Daytona Grey</t>
        </is>
      </c>
    </row>
    <row r="2217" ht="15" customHeight="1">
      <c r="A2217" s="231" t="n">
        <v>2213</v>
      </c>
      <c r="B2217" s="232" t="inlineStr">
        <is>
          <t>Tata</t>
        </is>
      </c>
      <c r="C2217" s="233" t="inlineStr">
        <is>
          <t>Tiago</t>
        </is>
      </c>
      <c r="D2217" s="234" t="inlineStr">
        <is>
          <t>Tiago XZ</t>
        </is>
      </c>
      <c r="E2217" s="235" t="inlineStr">
        <is>
          <t>Ocena Blue</t>
        </is>
      </c>
    </row>
    <row r="2218" ht="15" customHeight="1">
      <c r="A2218" s="231" t="n">
        <v>2214</v>
      </c>
      <c r="B2218" s="232" t="inlineStr">
        <is>
          <t>Tata</t>
        </is>
      </c>
      <c r="C2218" s="233" t="inlineStr">
        <is>
          <t>Tiago</t>
        </is>
      </c>
      <c r="D2218" s="234" t="inlineStr">
        <is>
          <t>Tiago XZ Plus</t>
        </is>
      </c>
      <c r="E2218" s="235" t="inlineStr">
        <is>
          <t>Arizona Blue</t>
        </is>
      </c>
    </row>
    <row r="2219" ht="15" customHeight="1">
      <c r="A2219" s="231" t="n">
        <v>2215</v>
      </c>
      <c r="B2219" s="232" t="inlineStr">
        <is>
          <t>Tata</t>
        </is>
      </c>
      <c r="C2219" s="233" t="inlineStr">
        <is>
          <t>Tiago</t>
        </is>
      </c>
      <c r="D2219" s="234" t="inlineStr">
        <is>
          <t>Tiago XZ Plus</t>
        </is>
      </c>
      <c r="E2219" s="235" t="inlineStr">
        <is>
          <t>Daytona Grey</t>
        </is>
      </c>
    </row>
    <row r="2220" ht="15" customHeight="1">
      <c r="A2220" s="231" t="n">
        <v>2216</v>
      </c>
      <c r="B2220" s="232" t="inlineStr">
        <is>
          <t>Tata</t>
        </is>
      </c>
      <c r="C2220" s="233" t="inlineStr">
        <is>
          <t>Tiago</t>
        </is>
      </c>
      <c r="D2220" s="234" t="inlineStr">
        <is>
          <t>Tiago XZ Plus</t>
        </is>
      </c>
      <c r="E2220" s="235" t="inlineStr">
        <is>
          <t>Ocena Blue</t>
        </is>
      </c>
    </row>
    <row r="2221" ht="15" customHeight="1">
      <c r="A2221" s="231" t="n">
        <v>2217</v>
      </c>
      <c r="B2221" s="232" t="inlineStr">
        <is>
          <t>Tata</t>
        </is>
      </c>
      <c r="C2221" s="233" t="inlineStr">
        <is>
          <t>Tigor</t>
        </is>
      </c>
      <c r="D2221" s="234" t="inlineStr">
        <is>
          <t>Tigor XM</t>
        </is>
      </c>
      <c r="E2221" s="235" t="inlineStr">
        <is>
          <t>Arizona Blue</t>
        </is>
      </c>
    </row>
    <row r="2222" ht="15" customHeight="1">
      <c r="A2222" s="231" t="n">
        <v>2218</v>
      </c>
      <c r="B2222" s="232" t="inlineStr">
        <is>
          <t>Tata</t>
        </is>
      </c>
      <c r="C2222" s="233" t="inlineStr">
        <is>
          <t>Tigor</t>
        </is>
      </c>
      <c r="D2222" s="234" t="inlineStr">
        <is>
          <t>Tigor XM</t>
        </is>
      </c>
      <c r="E2222" s="235" t="inlineStr">
        <is>
          <t>Daytona Grey</t>
        </is>
      </c>
    </row>
    <row r="2223" ht="15" customHeight="1">
      <c r="A2223" s="231" t="n">
        <v>2219</v>
      </c>
      <c r="B2223" s="232" t="inlineStr">
        <is>
          <t>Tata</t>
        </is>
      </c>
      <c r="C2223" s="233" t="inlineStr">
        <is>
          <t>Tigor</t>
        </is>
      </c>
      <c r="D2223" s="234" t="inlineStr">
        <is>
          <t>Tigor XM</t>
        </is>
      </c>
      <c r="E2223" s="235" t="inlineStr">
        <is>
          <t>Meteor Bronze</t>
        </is>
      </c>
    </row>
    <row r="2224" ht="15" customHeight="1">
      <c r="A2224" s="231" t="n">
        <v>2220</v>
      </c>
      <c r="B2224" s="232" t="inlineStr">
        <is>
          <t>Tata</t>
        </is>
      </c>
      <c r="C2224" s="233" t="inlineStr">
        <is>
          <t>Tigor</t>
        </is>
      </c>
      <c r="D2224" s="234" t="inlineStr">
        <is>
          <t>Tigor XM</t>
        </is>
      </c>
      <c r="E2224" s="235" t="inlineStr">
        <is>
          <t>Supernova Copper</t>
        </is>
      </c>
    </row>
    <row r="2225" ht="15" customHeight="1">
      <c r="A2225" s="231" t="n">
        <v>2221</v>
      </c>
      <c r="B2225" s="232" t="inlineStr">
        <is>
          <t>Tata</t>
        </is>
      </c>
      <c r="C2225" s="233" t="inlineStr">
        <is>
          <t>Tigor</t>
        </is>
      </c>
      <c r="D2225" s="234" t="inlineStr">
        <is>
          <t>Tigor XT</t>
        </is>
      </c>
      <c r="E2225" s="235" t="inlineStr">
        <is>
          <t>Arizona Blue</t>
        </is>
      </c>
    </row>
    <row r="2226" ht="15" customHeight="1">
      <c r="A2226" s="231" t="n">
        <v>2222</v>
      </c>
      <c r="B2226" s="232" t="inlineStr">
        <is>
          <t>Tata</t>
        </is>
      </c>
      <c r="C2226" s="233" t="inlineStr">
        <is>
          <t>Tigor</t>
        </is>
      </c>
      <c r="D2226" s="234" t="inlineStr">
        <is>
          <t>Tigor XT</t>
        </is>
      </c>
      <c r="E2226" s="235" t="inlineStr">
        <is>
          <t>Daytona Grey</t>
        </is>
      </c>
    </row>
    <row r="2227" ht="15" customHeight="1">
      <c r="A2227" s="231" t="n">
        <v>2223</v>
      </c>
      <c r="B2227" s="232" t="inlineStr">
        <is>
          <t>Tata</t>
        </is>
      </c>
      <c r="C2227" s="233" t="inlineStr">
        <is>
          <t>Tigor</t>
        </is>
      </c>
      <c r="D2227" s="234" t="inlineStr">
        <is>
          <t>Tigor XT</t>
        </is>
      </c>
      <c r="E2227" s="235" t="inlineStr">
        <is>
          <t>Meteor Bronze</t>
        </is>
      </c>
    </row>
    <row r="2228" ht="15" customHeight="1">
      <c r="A2228" s="231" t="n">
        <v>2224</v>
      </c>
      <c r="B2228" s="232" t="inlineStr">
        <is>
          <t>Tata</t>
        </is>
      </c>
      <c r="C2228" s="233" t="inlineStr">
        <is>
          <t>Tigor</t>
        </is>
      </c>
      <c r="D2228" s="234" t="inlineStr">
        <is>
          <t>Tigor XT</t>
        </is>
      </c>
      <c r="E2228" s="235" t="inlineStr">
        <is>
          <t>Supernova Copper</t>
        </is>
      </c>
    </row>
    <row r="2229" ht="15" customHeight="1">
      <c r="A2229" s="231" t="n">
        <v>2225</v>
      </c>
      <c r="B2229" s="232" t="inlineStr">
        <is>
          <t>Tata</t>
        </is>
      </c>
      <c r="C2229" s="233" t="inlineStr">
        <is>
          <t>Tigor</t>
        </is>
      </c>
      <c r="D2229" s="234" t="inlineStr">
        <is>
          <t>Tigor XZ</t>
        </is>
      </c>
      <c r="E2229" s="235" t="inlineStr">
        <is>
          <t>Arizona Blue</t>
        </is>
      </c>
    </row>
    <row r="2230" ht="15" customHeight="1">
      <c r="A2230" s="231" t="n">
        <v>2226</v>
      </c>
      <c r="B2230" s="232" t="inlineStr">
        <is>
          <t>Tata</t>
        </is>
      </c>
      <c r="C2230" s="233" t="inlineStr">
        <is>
          <t>Tigor</t>
        </is>
      </c>
      <c r="D2230" s="234" t="inlineStr">
        <is>
          <t>Tigor XZ</t>
        </is>
      </c>
      <c r="E2230" s="235" t="inlineStr">
        <is>
          <t>Daytona Grey</t>
        </is>
      </c>
    </row>
    <row r="2231" ht="15" customHeight="1">
      <c r="A2231" s="231" t="n">
        <v>2227</v>
      </c>
      <c r="B2231" s="232" t="inlineStr">
        <is>
          <t>Tata</t>
        </is>
      </c>
      <c r="C2231" s="233" t="inlineStr">
        <is>
          <t>Tigor</t>
        </is>
      </c>
      <c r="D2231" s="234" t="inlineStr">
        <is>
          <t>Tigor XZ</t>
        </is>
      </c>
      <c r="E2231" s="235" t="inlineStr">
        <is>
          <t>Meteor Bronze</t>
        </is>
      </c>
    </row>
    <row r="2232" ht="15" customHeight="1">
      <c r="A2232" s="231" t="n">
        <v>2228</v>
      </c>
      <c r="B2232" s="232" t="inlineStr">
        <is>
          <t>Tata</t>
        </is>
      </c>
      <c r="C2232" s="233" t="inlineStr">
        <is>
          <t>Tigor</t>
        </is>
      </c>
      <c r="D2232" s="234" t="inlineStr">
        <is>
          <t>Tigor XZ</t>
        </is>
      </c>
      <c r="E2232" s="235" t="inlineStr">
        <is>
          <t>Supernova Copper</t>
        </is>
      </c>
    </row>
    <row r="2233" ht="15" customHeight="1">
      <c r="A2233" s="231" t="n">
        <v>2229</v>
      </c>
      <c r="B2233" s="232" t="inlineStr">
        <is>
          <t>Tata</t>
        </is>
      </c>
      <c r="C2233" s="233" t="inlineStr">
        <is>
          <t>Tigor</t>
        </is>
      </c>
      <c r="D2233" s="234" t="inlineStr">
        <is>
          <t>Tigor XZ Plus</t>
        </is>
      </c>
      <c r="E2233" s="235" t="inlineStr">
        <is>
          <t>Arizona Blue</t>
        </is>
      </c>
    </row>
    <row r="2234" ht="15" customHeight="1">
      <c r="A2234" s="231" t="n">
        <v>2230</v>
      </c>
      <c r="B2234" s="232" t="inlineStr">
        <is>
          <t>Tata</t>
        </is>
      </c>
      <c r="C2234" s="233" t="inlineStr">
        <is>
          <t>Tigor</t>
        </is>
      </c>
      <c r="D2234" s="234" t="inlineStr">
        <is>
          <t>Tigor XZ Plus</t>
        </is>
      </c>
      <c r="E2234" s="235" t="inlineStr">
        <is>
          <t>Daytona Grey</t>
        </is>
      </c>
    </row>
    <row r="2235" ht="15" customHeight="1">
      <c r="A2235" s="231" t="n">
        <v>2231</v>
      </c>
      <c r="B2235" s="232" t="inlineStr">
        <is>
          <t>Tata</t>
        </is>
      </c>
      <c r="C2235" s="233" t="inlineStr">
        <is>
          <t>Tigor</t>
        </is>
      </c>
      <c r="D2235" s="234" t="inlineStr">
        <is>
          <t>Tigor XZ Plus</t>
        </is>
      </c>
      <c r="E2235" s="235" t="inlineStr">
        <is>
          <t>Meteor Bronze</t>
        </is>
      </c>
    </row>
    <row r="2236" ht="15" customHeight="1">
      <c r="A2236" s="231" t="n">
        <v>2232</v>
      </c>
      <c r="B2236" s="232" t="inlineStr">
        <is>
          <t>Tata</t>
        </is>
      </c>
      <c r="C2236" s="233" t="inlineStr">
        <is>
          <t>Tigor</t>
        </is>
      </c>
      <c r="D2236" s="234" t="inlineStr">
        <is>
          <t>Tigor XZ Plus</t>
        </is>
      </c>
      <c r="E2236" s="235" t="inlineStr">
        <is>
          <t>Supernova Copper</t>
        </is>
      </c>
    </row>
    <row r="2237" ht="15" customHeight="1">
      <c r="A2237" s="196" t="n">
        <v>2233</v>
      </c>
      <c r="B2237" s="197" t="inlineStr">
        <is>
          <t>Toyota</t>
        </is>
      </c>
      <c r="C2237" s="198" t="inlineStr">
        <is>
          <t>Camry</t>
        </is>
      </c>
      <c r="D2237" s="199" t="inlineStr">
        <is>
          <t>Standard</t>
        </is>
      </c>
      <c r="E2237" s="200" t="inlineStr">
        <is>
          <t>Attitude Black</t>
        </is>
      </c>
    </row>
    <row r="2238" ht="15" customHeight="1">
      <c r="A2238" s="196" t="n">
        <v>2234</v>
      </c>
      <c r="B2238" s="197" t="inlineStr">
        <is>
          <t>Toyota</t>
        </is>
      </c>
      <c r="C2238" s="198" t="inlineStr">
        <is>
          <t>Camry</t>
        </is>
      </c>
      <c r="D2238" s="199" t="inlineStr">
        <is>
          <t>Standard</t>
        </is>
      </c>
      <c r="E2238" s="200" t="inlineStr">
        <is>
          <t>Cement Grey</t>
        </is>
      </c>
    </row>
    <row r="2239" ht="15" customHeight="1">
      <c r="A2239" s="196" t="n">
        <v>2235</v>
      </c>
      <c r="B2239" s="197" t="inlineStr">
        <is>
          <t>Toyota</t>
        </is>
      </c>
      <c r="C2239" s="198" t="inlineStr">
        <is>
          <t>Camry</t>
        </is>
      </c>
      <c r="D2239" s="199" t="inlineStr">
        <is>
          <t>Standard</t>
        </is>
      </c>
      <c r="E2239" s="200" t="inlineStr">
        <is>
          <t>Cement Grey With Matte Black</t>
        </is>
      </c>
    </row>
    <row r="2240" ht="15" customHeight="1">
      <c r="A2240" s="196" t="n">
        <v>2236</v>
      </c>
      <c r="B2240" s="197" t="inlineStr">
        <is>
          <t>Toyota</t>
        </is>
      </c>
      <c r="C2240" s="198" t="inlineStr">
        <is>
          <t>Camry</t>
        </is>
      </c>
      <c r="D2240" s="199" t="inlineStr">
        <is>
          <t>Standard</t>
        </is>
      </c>
      <c r="E2240" s="200" t="inlineStr">
        <is>
          <t>Dark Blue</t>
        </is>
      </c>
    </row>
    <row r="2241" ht="15" customHeight="1">
      <c r="A2241" s="196" t="n">
        <v>2237</v>
      </c>
      <c r="B2241" s="197" t="inlineStr">
        <is>
          <t>Toyota</t>
        </is>
      </c>
      <c r="C2241" s="198" t="inlineStr">
        <is>
          <t>Camry</t>
        </is>
      </c>
      <c r="D2241" s="199" t="inlineStr">
        <is>
          <t>Standard</t>
        </is>
      </c>
      <c r="E2241" s="200" t="inlineStr">
        <is>
          <t>Dark Blue With Matte Black</t>
        </is>
      </c>
    </row>
    <row r="2242" ht="15" customHeight="1">
      <c r="A2242" s="196" t="n">
        <v>2238</v>
      </c>
      <c r="B2242" s="197" t="inlineStr">
        <is>
          <t>Toyota</t>
        </is>
      </c>
      <c r="C2242" s="198" t="inlineStr">
        <is>
          <t>Camry</t>
        </is>
      </c>
      <c r="D2242" s="199" t="inlineStr">
        <is>
          <t>Standard</t>
        </is>
      </c>
      <c r="E2242" s="200" t="inlineStr">
        <is>
          <t>Emotional Red</t>
        </is>
      </c>
    </row>
    <row r="2243" ht="15" customHeight="1">
      <c r="A2243" s="196" t="n">
        <v>2239</v>
      </c>
      <c r="B2243" s="197" t="inlineStr">
        <is>
          <t>Toyota</t>
        </is>
      </c>
      <c r="C2243" s="198" t="inlineStr">
        <is>
          <t>Camry</t>
        </is>
      </c>
      <c r="D2243" s="199" t="inlineStr">
        <is>
          <t>Standard</t>
        </is>
      </c>
      <c r="E2243" s="200" t="inlineStr">
        <is>
          <t>Emotional Red With Matte Black</t>
        </is>
      </c>
    </row>
    <row r="2244" ht="15" customHeight="1">
      <c r="A2244" s="196" t="n">
        <v>2240</v>
      </c>
      <c r="B2244" s="197" t="inlineStr">
        <is>
          <t>Toyota</t>
        </is>
      </c>
      <c r="C2244" s="198" t="inlineStr">
        <is>
          <t>Camry</t>
        </is>
      </c>
      <c r="D2244" s="199" t="inlineStr">
        <is>
          <t>Standard</t>
        </is>
      </c>
      <c r="E2244" s="200" t="inlineStr">
        <is>
          <t>Platinum White Pearl</t>
        </is>
      </c>
    </row>
    <row r="2245" ht="15" customHeight="1">
      <c r="A2245" s="196" t="n">
        <v>2241</v>
      </c>
      <c r="B2245" s="197" t="inlineStr">
        <is>
          <t>Toyota</t>
        </is>
      </c>
      <c r="C2245" s="198" t="inlineStr">
        <is>
          <t>Camry</t>
        </is>
      </c>
      <c r="D2245" s="199" t="inlineStr">
        <is>
          <t>Standard</t>
        </is>
      </c>
      <c r="E2245" s="200" t="inlineStr">
        <is>
          <t>Platinum White Pearl With Matte Black</t>
        </is>
      </c>
    </row>
    <row r="2246" ht="15" customHeight="1">
      <c r="A2246" s="196" t="n">
        <v>2242</v>
      </c>
      <c r="B2246" s="197" t="inlineStr">
        <is>
          <t>Toyota</t>
        </is>
      </c>
      <c r="C2246" s="198" t="inlineStr">
        <is>
          <t>Camry</t>
        </is>
      </c>
      <c r="D2246" s="199" t="inlineStr">
        <is>
          <t>Standard</t>
        </is>
      </c>
      <c r="E2246" s="200" t="inlineStr">
        <is>
          <t>Precious Metal</t>
        </is>
      </c>
    </row>
    <row r="2247" ht="15" customHeight="1">
      <c r="A2247" s="196" t="n">
        <v>2243</v>
      </c>
      <c r="B2247" s="197" t="inlineStr">
        <is>
          <t>Toyota</t>
        </is>
      </c>
      <c r="C2247" s="198" t="inlineStr">
        <is>
          <t>Camry</t>
        </is>
      </c>
      <c r="D2247" s="199" t="inlineStr">
        <is>
          <t>Standard</t>
        </is>
      </c>
      <c r="E2247" s="200" t="inlineStr">
        <is>
          <t>Precious Metal With Matte Black</t>
        </is>
      </c>
    </row>
    <row r="2248" ht="15" customHeight="1">
      <c r="A2248" s="196" t="n">
        <v>2244</v>
      </c>
      <c r="B2248" s="197" t="inlineStr">
        <is>
          <t>Toyota</t>
        </is>
      </c>
      <c r="C2248" s="198" t="inlineStr">
        <is>
          <t>Fortuner</t>
        </is>
      </c>
      <c r="D2248" s="199" t="inlineStr">
        <is>
          <t>Standard</t>
        </is>
      </c>
      <c r="E2248" s="200" t="inlineStr">
        <is>
          <t>Attitude Black</t>
        </is>
      </c>
    </row>
    <row r="2249" ht="15" customHeight="1">
      <c r="A2249" s="196" t="n">
        <v>2245</v>
      </c>
      <c r="B2249" s="197" t="inlineStr">
        <is>
          <t>Toyota</t>
        </is>
      </c>
      <c r="C2249" s="198" t="inlineStr">
        <is>
          <t>Fortuner</t>
        </is>
      </c>
      <c r="D2249" s="199" t="inlineStr">
        <is>
          <t>Standard</t>
        </is>
      </c>
      <c r="E2249" s="200" t="inlineStr">
        <is>
          <t>Avant-Garde Bronze</t>
        </is>
      </c>
    </row>
    <row r="2250" ht="15" customHeight="1">
      <c r="A2250" s="196" t="n">
        <v>2246</v>
      </c>
      <c r="B2250" s="197" t="inlineStr">
        <is>
          <t>Toyota</t>
        </is>
      </c>
      <c r="C2250" s="198" t="inlineStr">
        <is>
          <t>Fortuner</t>
        </is>
      </c>
      <c r="D2250" s="199" t="inlineStr">
        <is>
          <t>Standard</t>
        </is>
      </c>
      <c r="E2250" s="200" t="inlineStr">
        <is>
          <t>Platinum White Pearl</t>
        </is>
      </c>
    </row>
    <row r="2251" ht="15" customHeight="1">
      <c r="A2251" s="196" t="n">
        <v>2247</v>
      </c>
      <c r="B2251" s="197" t="inlineStr">
        <is>
          <t>Toyota</t>
        </is>
      </c>
      <c r="C2251" s="198" t="inlineStr">
        <is>
          <t>Fortuner</t>
        </is>
      </c>
      <c r="D2251" s="199" t="inlineStr">
        <is>
          <t>Standard</t>
        </is>
      </c>
      <c r="E2251" s="200" t="inlineStr">
        <is>
          <t>Silver Metallic</t>
        </is>
      </c>
    </row>
    <row r="2252" ht="15" customHeight="1">
      <c r="A2252" s="196" t="n">
        <v>2248</v>
      </c>
      <c r="B2252" s="197" t="inlineStr">
        <is>
          <t>Toyota</t>
        </is>
      </c>
      <c r="C2252" s="198" t="inlineStr">
        <is>
          <t>Fortuner</t>
        </is>
      </c>
      <c r="D2252" s="199" t="inlineStr">
        <is>
          <t>Standard</t>
        </is>
      </c>
      <c r="E2252" s="200" t="inlineStr">
        <is>
          <t>Sparkling Black Cystal Shine</t>
        </is>
      </c>
    </row>
    <row r="2253" ht="15" customHeight="1">
      <c r="A2253" s="196" t="n">
        <v>2249</v>
      </c>
      <c r="B2253" s="197" t="inlineStr">
        <is>
          <t>Toyota</t>
        </is>
      </c>
      <c r="C2253" s="198" t="inlineStr">
        <is>
          <t>Fortuner</t>
        </is>
      </c>
      <c r="D2253" s="199" t="inlineStr">
        <is>
          <t>Standard</t>
        </is>
      </c>
      <c r="E2253" s="200" t="inlineStr">
        <is>
          <t>Super White</t>
        </is>
      </c>
    </row>
    <row r="2254" ht="15" customHeight="1">
      <c r="A2254" s="196" t="n">
        <v>2250</v>
      </c>
      <c r="B2254" s="197" t="inlineStr">
        <is>
          <t>Toyota</t>
        </is>
      </c>
      <c r="C2254" s="198" t="inlineStr">
        <is>
          <t>Glanza</t>
        </is>
      </c>
      <c r="D2254" s="199" t="inlineStr">
        <is>
          <t>Standard</t>
        </is>
      </c>
      <c r="E2254" s="200" t="inlineStr">
        <is>
          <t>Cafe White</t>
        </is>
      </c>
    </row>
    <row r="2255" ht="15" customHeight="1">
      <c r="A2255" s="196" t="n">
        <v>2251</v>
      </c>
      <c r="B2255" s="197" t="inlineStr">
        <is>
          <t>Toyota</t>
        </is>
      </c>
      <c r="C2255" s="198" t="inlineStr">
        <is>
          <t>Glanza</t>
        </is>
      </c>
      <c r="D2255" s="199" t="inlineStr">
        <is>
          <t>Standard</t>
        </is>
      </c>
      <c r="E2255" s="200" t="inlineStr">
        <is>
          <t>Enticing Silver</t>
        </is>
      </c>
    </row>
    <row r="2256" ht="15" customHeight="1">
      <c r="A2256" s="196" t="n">
        <v>2252</v>
      </c>
      <c r="B2256" s="197" t="inlineStr">
        <is>
          <t>Toyota</t>
        </is>
      </c>
      <c r="C2256" s="198" t="inlineStr">
        <is>
          <t>Glanza</t>
        </is>
      </c>
      <c r="D2256" s="199" t="inlineStr">
        <is>
          <t>Standard</t>
        </is>
      </c>
      <c r="E2256" s="200" t="inlineStr">
        <is>
          <t>Gaming Grey</t>
        </is>
      </c>
    </row>
    <row r="2257" ht="15" customHeight="1">
      <c r="A2257" s="196" t="n">
        <v>2253</v>
      </c>
      <c r="B2257" s="197" t="inlineStr">
        <is>
          <t>Toyota</t>
        </is>
      </c>
      <c r="C2257" s="198" t="inlineStr">
        <is>
          <t>Glanza</t>
        </is>
      </c>
      <c r="D2257" s="199" t="inlineStr">
        <is>
          <t>Standard</t>
        </is>
      </c>
      <c r="E2257" s="200" t="inlineStr">
        <is>
          <t>Insta Blue</t>
        </is>
      </c>
    </row>
    <row r="2258" ht="15" customHeight="1">
      <c r="A2258" s="196" t="n">
        <v>2254</v>
      </c>
      <c r="B2258" s="197" t="inlineStr">
        <is>
          <t>Toyota</t>
        </is>
      </c>
      <c r="C2258" s="198" t="inlineStr">
        <is>
          <t>Glanza</t>
        </is>
      </c>
      <c r="D2258" s="199" t="inlineStr">
        <is>
          <t>Standard</t>
        </is>
      </c>
      <c r="E2258" s="200" t="inlineStr">
        <is>
          <t>Sportin Red</t>
        </is>
      </c>
    </row>
    <row r="2259" ht="15" customHeight="1">
      <c r="A2259" s="196" t="n">
        <v>2255</v>
      </c>
      <c r="B2259" s="197" t="inlineStr">
        <is>
          <t>Toyota</t>
        </is>
      </c>
      <c r="C2259" s="198" t="inlineStr">
        <is>
          <t>Hilux</t>
        </is>
      </c>
      <c r="D2259" s="199" t="inlineStr">
        <is>
          <t>Standard</t>
        </is>
      </c>
      <c r="E2259" s="200" t="inlineStr">
        <is>
          <t>Attitude Black</t>
        </is>
      </c>
    </row>
    <row r="2260" ht="15" customHeight="1">
      <c r="A2260" s="196" t="n">
        <v>2256</v>
      </c>
      <c r="B2260" s="197" t="inlineStr">
        <is>
          <t>Toyota</t>
        </is>
      </c>
      <c r="C2260" s="198" t="inlineStr">
        <is>
          <t>Hilux</t>
        </is>
      </c>
      <c r="D2260" s="199" t="inlineStr">
        <is>
          <t>Standard</t>
        </is>
      </c>
      <c r="E2260" s="200" t="inlineStr">
        <is>
          <t>Emotional Red</t>
        </is>
      </c>
    </row>
    <row r="2261" ht="15" customHeight="1">
      <c r="A2261" s="196" t="n">
        <v>2257</v>
      </c>
      <c r="B2261" s="197" t="inlineStr">
        <is>
          <t>Toyota</t>
        </is>
      </c>
      <c r="C2261" s="198" t="inlineStr">
        <is>
          <t>Hilux</t>
        </is>
      </c>
      <c r="D2261" s="199" t="inlineStr">
        <is>
          <t>Standard</t>
        </is>
      </c>
      <c r="E2261" s="200" t="inlineStr">
        <is>
          <t>Grey Metallic</t>
        </is>
      </c>
    </row>
    <row r="2262" ht="15" customHeight="1">
      <c r="A2262" s="196" t="n">
        <v>2258</v>
      </c>
      <c r="B2262" s="197" t="inlineStr">
        <is>
          <t>Toyota</t>
        </is>
      </c>
      <c r="C2262" s="198" t="inlineStr">
        <is>
          <t>Hilux</t>
        </is>
      </c>
      <c r="D2262" s="199" t="inlineStr">
        <is>
          <t>Standard</t>
        </is>
      </c>
      <c r="E2262" s="200" t="inlineStr">
        <is>
          <t>Super White</t>
        </is>
      </c>
    </row>
    <row r="2263" ht="15" customHeight="1">
      <c r="A2263" s="196" t="n">
        <v>2259</v>
      </c>
      <c r="B2263" s="197" t="inlineStr">
        <is>
          <t>Toyota</t>
        </is>
      </c>
      <c r="C2263" s="198" t="inlineStr">
        <is>
          <t>Hilux</t>
        </is>
      </c>
      <c r="D2263" s="199" t="inlineStr">
        <is>
          <t>Standard</t>
        </is>
      </c>
      <c r="E2263" s="200" t="inlineStr">
        <is>
          <t>White Pearl Crystal Shine</t>
        </is>
      </c>
    </row>
    <row r="2264" ht="15" customHeight="1">
      <c r="A2264" s="196" t="n">
        <v>2260</v>
      </c>
      <c r="B2264" s="197" t="inlineStr">
        <is>
          <t>Toyota</t>
        </is>
      </c>
      <c r="C2264" s="198" t="inlineStr">
        <is>
          <t>Innova Crysta</t>
        </is>
      </c>
      <c r="D2264" s="199" t="inlineStr">
        <is>
          <t>Standard</t>
        </is>
      </c>
      <c r="E2264" s="200" t="inlineStr">
        <is>
          <t>Attitude Black Mica</t>
        </is>
      </c>
    </row>
    <row r="2265" ht="15" customHeight="1">
      <c r="A2265" s="196" t="n">
        <v>2261</v>
      </c>
      <c r="B2265" s="197" t="inlineStr">
        <is>
          <t>Toyota</t>
        </is>
      </c>
      <c r="C2265" s="198" t="inlineStr">
        <is>
          <t>Innova Crysta</t>
        </is>
      </c>
      <c r="D2265" s="199" t="inlineStr">
        <is>
          <t>Standard</t>
        </is>
      </c>
      <c r="E2265" s="200" t="inlineStr">
        <is>
          <t>Avant-Garde Bronze Metallic</t>
        </is>
      </c>
    </row>
    <row r="2266" ht="15" customHeight="1">
      <c r="A2266" s="196" t="n">
        <v>2262</v>
      </c>
      <c r="B2266" s="197" t="inlineStr">
        <is>
          <t>Toyota</t>
        </is>
      </c>
      <c r="C2266" s="198" t="inlineStr">
        <is>
          <t>Innova Crysta</t>
        </is>
      </c>
      <c r="D2266" s="199" t="inlineStr">
        <is>
          <t>Standard</t>
        </is>
      </c>
      <c r="E2266" s="200" t="inlineStr">
        <is>
          <t>Platinum White Pearl</t>
        </is>
      </c>
    </row>
    <row r="2267" ht="15" customHeight="1">
      <c r="A2267" s="196" t="n">
        <v>2263</v>
      </c>
      <c r="B2267" s="197" t="inlineStr">
        <is>
          <t>Toyota</t>
        </is>
      </c>
      <c r="C2267" s="198" t="inlineStr">
        <is>
          <t>Innova Crysta</t>
        </is>
      </c>
      <c r="D2267" s="199" t="inlineStr">
        <is>
          <t>Standard</t>
        </is>
      </c>
      <c r="E2267" s="200" t="inlineStr">
        <is>
          <t>Silver Metallic</t>
        </is>
      </c>
    </row>
    <row r="2268" ht="15" customHeight="1">
      <c r="A2268" s="196" t="n">
        <v>2264</v>
      </c>
      <c r="B2268" s="197" t="inlineStr">
        <is>
          <t>Toyota</t>
        </is>
      </c>
      <c r="C2268" s="198" t="inlineStr">
        <is>
          <t>Innova Crysta</t>
        </is>
      </c>
      <c r="D2268" s="199" t="inlineStr">
        <is>
          <t>Standard</t>
        </is>
      </c>
      <c r="E2268" s="200" t="inlineStr">
        <is>
          <t>Superwhite</t>
        </is>
      </c>
    </row>
    <row r="2269" ht="15" customHeight="1">
      <c r="A2269" s="196" t="n">
        <v>2265</v>
      </c>
      <c r="B2269" s="197" t="inlineStr">
        <is>
          <t>Toyota</t>
        </is>
      </c>
      <c r="C2269" s="198" t="inlineStr">
        <is>
          <t>Innova Hycross</t>
        </is>
      </c>
      <c r="D2269" s="199" t="inlineStr">
        <is>
          <t>Standard</t>
        </is>
      </c>
      <c r="E2269" s="200" t="inlineStr">
        <is>
          <t>Attitude Black Mica</t>
        </is>
      </c>
    </row>
    <row r="2270" ht="15" customHeight="1">
      <c r="A2270" s="196" t="n">
        <v>2266</v>
      </c>
      <c r="B2270" s="197" t="inlineStr">
        <is>
          <t>Toyota</t>
        </is>
      </c>
      <c r="C2270" s="198" t="inlineStr">
        <is>
          <t>Innova Hycross</t>
        </is>
      </c>
      <c r="D2270" s="199" t="inlineStr">
        <is>
          <t>Standard</t>
        </is>
      </c>
      <c r="E2270" s="200" t="inlineStr">
        <is>
          <t>Avant-garde Bronze Metallic</t>
        </is>
      </c>
    </row>
    <row r="2271" ht="15" customHeight="1">
      <c r="A2271" s="196" t="n">
        <v>2267</v>
      </c>
      <c r="B2271" s="197" t="inlineStr">
        <is>
          <t>Toyota</t>
        </is>
      </c>
      <c r="C2271" s="198" t="inlineStr">
        <is>
          <t>Innova Hycross</t>
        </is>
      </c>
      <c r="D2271" s="199" t="inlineStr">
        <is>
          <t>Standard</t>
        </is>
      </c>
      <c r="E2271" s="200" t="inlineStr">
        <is>
          <t>Blackish Ageha Glass Flake</t>
        </is>
      </c>
    </row>
    <row r="2272" ht="15" customHeight="1">
      <c r="A2272" s="196" t="n">
        <v>2268</v>
      </c>
      <c r="B2272" s="197" t="inlineStr">
        <is>
          <t>Toyota</t>
        </is>
      </c>
      <c r="C2272" s="198" t="inlineStr">
        <is>
          <t>Innova Hycross</t>
        </is>
      </c>
      <c r="D2272" s="199" t="inlineStr">
        <is>
          <t>Standard</t>
        </is>
      </c>
      <c r="E2272" s="200" t="inlineStr">
        <is>
          <t>Platinum White Pearl</t>
        </is>
      </c>
    </row>
    <row r="2273" ht="15" customHeight="1">
      <c r="A2273" s="196" t="n">
        <v>2269</v>
      </c>
      <c r="B2273" s="197" t="inlineStr">
        <is>
          <t>Toyota</t>
        </is>
      </c>
      <c r="C2273" s="198" t="inlineStr">
        <is>
          <t>Innova Hycross</t>
        </is>
      </c>
      <c r="D2273" s="199" t="inlineStr">
        <is>
          <t>Standard</t>
        </is>
      </c>
      <c r="E2273" s="200" t="inlineStr">
        <is>
          <t>Silver Metallic</t>
        </is>
      </c>
    </row>
    <row r="2274" ht="15" customHeight="1">
      <c r="A2274" s="196" t="n">
        <v>2270</v>
      </c>
      <c r="B2274" s="197" t="inlineStr">
        <is>
          <t>Toyota</t>
        </is>
      </c>
      <c r="C2274" s="198" t="inlineStr">
        <is>
          <t>Innova Hycross</t>
        </is>
      </c>
      <c r="D2274" s="199" t="inlineStr">
        <is>
          <t>Standard</t>
        </is>
      </c>
      <c r="E2274" s="200" t="inlineStr">
        <is>
          <t>Super White</t>
        </is>
      </c>
    </row>
    <row r="2275" ht="15" customHeight="1">
      <c r="A2275" s="196" t="n">
        <v>2271</v>
      </c>
      <c r="B2275" s="197" t="inlineStr">
        <is>
          <t>Toyota</t>
        </is>
      </c>
      <c r="C2275" s="198" t="inlineStr">
        <is>
          <t>Rumion</t>
        </is>
      </c>
      <c r="D2275" s="199" t="inlineStr">
        <is>
          <t>Standard</t>
        </is>
      </c>
      <c r="E2275" s="200" t="inlineStr">
        <is>
          <t>Cafe White</t>
        </is>
      </c>
    </row>
    <row r="2276" ht="15" customHeight="1">
      <c r="A2276" s="196" t="n">
        <v>2272</v>
      </c>
      <c r="B2276" s="197" t="inlineStr">
        <is>
          <t>Toyota</t>
        </is>
      </c>
      <c r="C2276" s="198" t="inlineStr">
        <is>
          <t>Rumion</t>
        </is>
      </c>
      <c r="D2276" s="199" t="inlineStr">
        <is>
          <t>Standard</t>
        </is>
      </c>
      <c r="E2276" s="200" t="inlineStr">
        <is>
          <t>Enticing Silver</t>
        </is>
      </c>
    </row>
    <row r="2277" ht="15" customHeight="1">
      <c r="A2277" s="196" t="n">
        <v>2273</v>
      </c>
      <c r="B2277" s="197" t="inlineStr">
        <is>
          <t>Toyota</t>
        </is>
      </c>
      <c r="C2277" s="198" t="inlineStr">
        <is>
          <t>Rumion</t>
        </is>
      </c>
      <c r="D2277" s="199" t="inlineStr">
        <is>
          <t>Standard</t>
        </is>
      </c>
      <c r="E2277" s="200" t="inlineStr">
        <is>
          <t>Iconic Grey</t>
        </is>
      </c>
    </row>
    <row r="2278" ht="15" customHeight="1">
      <c r="A2278" s="196" t="n">
        <v>2274</v>
      </c>
      <c r="B2278" s="197" t="inlineStr">
        <is>
          <t>Toyota</t>
        </is>
      </c>
      <c r="C2278" s="198" t="inlineStr">
        <is>
          <t>Rumion</t>
        </is>
      </c>
      <c r="D2278" s="199" t="inlineStr">
        <is>
          <t>Standard</t>
        </is>
      </c>
      <c r="E2278" s="200" t="inlineStr">
        <is>
          <t>Rustic Brown</t>
        </is>
      </c>
    </row>
    <row r="2279" ht="15" customHeight="1">
      <c r="A2279" s="196" t="n">
        <v>2275</v>
      </c>
      <c r="B2279" s="197" t="inlineStr">
        <is>
          <t>Toyota</t>
        </is>
      </c>
      <c r="C2279" s="198" t="inlineStr">
        <is>
          <t>Rumion</t>
        </is>
      </c>
      <c r="D2279" s="199" t="inlineStr">
        <is>
          <t>Standard</t>
        </is>
      </c>
      <c r="E2279" s="200" t="inlineStr">
        <is>
          <t>Spunky Blue</t>
        </is>
      </c>
    </row>
    <row r="2280" ht="15" customHeight="1">
      <c r="A2280" s="196" t="n">
        <v>2276</v>
      </c>
      <c r="B2280" s="197" t="inlineStr">
        <is>
          <t>Toyota</t>
        </is>
      </c>
      <c r="C2280" s="198" t="inlineStr">
        <is>
          <t>Urban Cruiser Hyryder</t>
        </is>
      </c>
      <c r="D2280" s="199" t="inlineStr">
        <is>
          <t>Standard</t>
        </is>
      </c>
      <c r="E2280" s="200" t="inlineStr">
        <is>
          <t>Cafe White</t>
        </is>
      </c>
    </row>
    <row r="2281" ht="15" customHeight="1">
      <c r="A2281" s="196" t="n">
        <v>2277</v>
      </c>
      <c r="B2281" s="197" t="inlineStr">
        <is>
          <t>Toyota</t>
        </is>
      </c>
      <c r="C2281" s="198" t="inlineStr">
        <is>
          <t>Urban Cruiser Hyryder</t>
        </is>
      </c>
      <c r="D2281" s="199" t="inlineStr">
        <is>
          <t>Standard</t>
        </is>
      </c>
      <c r="E2281" s="200" t="inlineStr">
        <is>
          <t>Cafe White with Midnight Black</t>
        </is>
      </c>
    </row>
    <row r="2282" ht="15" customHeight="1">
      <c r="A2282" s="196" t="n">
        <v>2278</v>
      </c>
      <c r="B2282" s="197" t="inlineStr">
        <is>
          <t>Toyota</t>
        </is>
      </c>
      <c r="C2282" s="198" t="inlineStr">
        <is>
          <t>Urban Cruiser Hyryder</t>
        </is>
      </c>
      <c r="D2282" s="199" t="inlineStr">
        <is>
          <t>Standard</t>
        </is>
      </c>
      <c r="E2282" s="200" t="inlineStr">
        <is>
          <t>Cave Black</t>
        </is>
      </c>
    </row>
    <row r="2283" ht="15" customHeight="1">
      <c r="A2283" s="196" t="n">
        <v>2279</v>
      </c>
      <c r="B2283" s="197" t="inlineStr">
        <is>
          <t>Toyota</t>
        </is>
      </c>
      <c r="C2283" s="198" t="inlineStr">
        <is>
          <t>Urban Cruiser Hyryder</t>
        </is>
      </c>
      <c r="D2283" s="199" t="inlineStr">
        <is>
          <t>Standard</t>
        </is>
      </c>
      <c r="E2283" s="200" t="inlineStr">
        <is>
          <t>Enticing Silver</t>
        </is>
      </c>
    </row>
    <row r="2284" ht="15" customHeight="1">
      <c r="A2284" s="196" t="n">
        <v>2280</v>
      </c>
      <c r="B2284" s="197" t="inlineStr">
        <is>
          <t>Toyota</t>
        </is>
      </c>
      <c r="C2284" s="198" t="inlineStr">
        <is>
          <t>Urban Cruiser Hyryder</t>
        </is>
      </c>
      <c r="D2284" s="199" t="inlineStr">
        <is>
          <t>Standard</t>
        </is>
      </c>
      <c r="E2284" s="200" t="inlineStr">
        <is>
          <t>Enticing Silver with Midnight Black</t>
        </is>
      </c>
    </row>
    <row r="2285" ht="15" customHeight="1">
      <c r="A2285" s="196" t="n">
        <v>2281</v>
      </c>
      <c r="B2285" s="197" t="inlineStr">
        <is>
          <t>Toyota</t>
        </is>
      </c>
      <c r="C2285" s="198" t="inlineStr">
        <is>
          <t>Urban Cruiser Hyryder</t>
        </is>
      </c>
      <c r="D2285" s="199" t="inlineStr">
        <is>
          <t>Standard</t>
        </is>
      </c>
      <c r="E2285" s="200" t="inlineStr">
        <is>
          <t>Gaming Grey</t>
        </is>
      </c>
    </row>
    <row r="2286" ht="15" customHeight="1">
      <c r="A2286" s="196" t="n">
        <v>2282</v>
      </c>
      <c r="B2286" s="197" t="inlineStr">
        <is>
          <t>Toyota</t>
        </is>
      </c>
      <c r="C2286" s="198" t="inlineStr">
        <is>
          <t>Urban Cruiser Hyryder</t>
        </is>
      </c>
      <c r="D2286" s="199" t="inlineStr">
        <is>
          <t>Standard</t>
        </is>
      </c>
      <c r="E2286" s="200" t="inlineStr">
        <is>
          <t>Midnight Black</t>
        </is>
      </c>
    </row>
    <row r="2287" ht="15" customHeight="1">
      <c r="A2287" s="196" t="n">
        <v>2283</v>
      </c>
      <c r="B2287" s="197" t="inlineStr">
        <is>
          <t>Toyota</t>
        </is>
      </c>
      <c r="C2287" s="198" t="inlineStr">
        <is>
          <t>Urban Cruiser Hyryder</t>
        </is>
      </c>
      <c r="D2287" s="199" t="inlineStr">
        <is>
          <t>Standard</t>
        </is>
      </c>
      <c r="E2287" s="200" t="inlineStr">
        <is>
          <t>Speedy Blue</t>
        </is>
      </c>
    </row>
    <row r="2288" ht="15" customHeight="1">
      <c r="A2288" s="196" t="n">
        <v>2284</v>
      </c>
      <c r="B2288" s="197" t="inlineStr">
        <is>
          <t>Toyota</t>
        </is>
      </c>
      <c r="C2288" s="198" t="inlineStr">
        <is>
          <t>Urban Cruiser Hyryder</t>
        </is>
      </c>
      <c r="D2288" s="199" t="inlineStr">
        <is>
          <t>Standard</t>
        </is>
      </c>
      <c r="E2288" s="200" t="inlineStr">
        <is>
          <t>Speedy Blue with Midnight Black</t>
        </is>
      </c>
    </row>
    <row r="2289" ht="15" customHeight="1">
      <c r="A2289" s="196" t="n">
        <v>2285</v>
      </c>
      <c r="B2289" s="197" t="inlineStr">
        <is>
          <t>Toyota</t>
        </is>
      </c>
      <c r="C2289" s="198" t="inlineStr">
        <is>
          <t>Urban Cruiser Hyryder</t>
        </is>
      </c>
      <c r="D2289" s="199" t="inlineStr">
        <is>
          <t>Standard</t>
        </is>
      </c>
      <c r="E2289" s="200" t="inlineStr">
        <is>
          <t>Sportin Red</t>
        </is>
      </c>
    </row>
    <row r="2290" ht="15" customHeight="1">
      <c r="A2290" s="196" t="n">
        <v>2286</v>
      </c>
      <c r="B2290" s="197" t="inlineStr">
        <is>
          <t>Toyota</t>
        </is>
      </c>
      <c r="C2290" s="198" t="inlineStr">
        <is>
          <t>Urban Cruiser Hyryder</t>
        </is>
      </c>
      <c r="D2290" s="199" t="inlineStr">
        <is>
          <t>Standard</t>
        </is>
      </c>
      <c r="E2290" s="200" t="inlineStr">
        <is>
          <t>Sportin Red with Midnight Black</t>
        </is>
      </c>
    </row>
    <row r="2291" ht="15" customHeight="1">
      <c r="A2291" s="196" t="n">
        <v>2287</v>
      </c>
      <c r="B2291" s="197" t="inlineStr">
        <is>
          <t>Toyota</t>
        </is>
      </c>
      <c r="C2291" s="198" t="inlineStr">
        <is>
          <t>Urban Cruiser Taisor</t>
        </is>
      </c>
      <c r="D2291" s="199" t="inlineStr">
        <is>
          <t>Standard</t>
        </is>
      </c>
      <c r="E2291" s="200" t="inlineStr">
        <is>
          <t>Bluish Black</t>
        </is>
      </c>
    </row>
    <row r="2292" ht="15" customHeight="1">
      <c r="A2292" s="196" t="n">
        <v>2288</v>
      </c>
      <c r="B2292" s="197" t="inlineStr">
        <is>
          <t>Toyota</t>
        </is>
      </c>
      <c r="C2292" s="198" t="inlineStr">
        <is>
          <t>Urban Cruiser Taisor</t>
        </is>
      </c>
      <c r="D2292" s="199" t="inlineStr">
        <is>
          <t>Standard</t>
        </is>
      </c>
      <c r="E2292" s="200" t="inlineStr">
        <is>
          <t>Cafe White</t>
        </is>
      </c>
    </row>
    <row r="2293" ht="15" customHeight="1">
      <c r="A2293" s="196" t="n">
        <v>2289</v>
      </c>
      <c r="B2293" s="197" t="inlineStr">
        <is>
          <t>Toyota</t>
        </is>
      </c>
      <c r="C2293" s="198" t="inlineStr">
        <is>
          <t>Urban Cruiser Taisor</t>
        </is>
      </c>
      <c r="D2293" s="199" t="inlineStr">
        <is>
          <t>Standard</t>
        </is>
      </c>
      <c r="E2293" s="200" t="inlineStr">
        <is>
          <t>Cafe White with Midnight Black</t>
        </is>
      </c>
    </row>
    <row r="2294" ht="15" customHeight="1">
      <c r="A2294" s="196" t="n">
        <v>2290</v>
      </c>
      <c r="B2294" s="197" t="inlineStr">
        <is>
          <t>Toyota</t>
        </is>
      </c>
      <c r="C2294" s="198" t="inlineStr">
        <is>
          <t>Urban Cruiser Taisor</t>
        </is>
      </c>
      <c r="D2294" s="199" t="inlineStr">
        <is>
          <t>Standard</t>
        </is>
      </c>
      <c r="E2294" s="200" t="inlineStr">
        <is>
          <t>Enticing Silver</t>
        </is>
      </c>
    </row>
    <row r="2295" ht="15" customHeight="1">
      <c r="A2295" s="196" t="n">
        <v>2291</v>
      </c>
      <c r="B2295" s="197" t="inlineStr">
        <is>
          <t>Toyota</t>
        </is>
      </c>
      <c r="C2295" s="198" t="inlineStr">
        <is>
          <t>Urban Cruiser Taisor</t>
        </is>
      </c>
      <c r="D2295" s="199" t="inlineStr">
        <is>
          <t>Standard</t>
        </is>
      </c>
      <c r="E2295" s="200" t="inlineStr">
        <is>
          <t>Enticing Silver with Midnight Black</t>
        </is>
      </c>
    </row>
    <row r="2296" ht="15" customHeight="1">
      <c r="A2296" s="196" t="n">
        <v>2292</v>
      </c>
      <c r="B2296" s="197" t="inlineStr">
        <is>
          <t>Toyota</t>
        </is>
      </c>
      <c r="C2296" s="198" t="inlineStr">
        <is>
          <t>Urban Cruiser Taisor</t>
        </is>
      </c>
      <c r="D2296" s="199" t="inlineStr">
        <is>
          <t>Standard</t>
        </is>
      </c>
      <c r="E2296" s="200" t="inlineStr">
        <is>
          <t>Gaming Grey</t>
        </is>
      </c>
    </row>
    <row r="2297" ht="15" customHeight="1">
      <c r="A2297" s="196" t="n">
        <v>2293</v>
      </c>
      <c r="B2297" s="197" t="inlineStr">
        <is>
          <t>Toyota</t>
        </is>
      </c>
      <c r="C2297" s="198" t="inlineStr">
        <is>
          <t>Urban Cruiser Taisor</t>
        </is>
      </c>
      <c r="D2297" s="199" t="inlineStr">
        <is>
          <t>Standard</t>
        </is>
      </c>
      <c r="E2297" s="200" t="inlineStr">
        <is>
          <t>Lucent Orange</t>
        </is>
      </c>
    </row>
    <row r="2298" ht="15" customHeight="1">
      <c r="A2298" s="196" t="n">
        <v>2294</v>
      </c>
      <c r="B2298" s="197" t="inlineStr">
        <is>
          <t>Toyota</t>
        </is>
      </c>
      <c r="C2298" s="198" t="inlineStr">
        <is>
          <t>Urban Cruiser Taisor</t>
        </is>
      </c>
      <c r="D2298" s="199" t="inlineStr">
        <is>
          <t>Standard</t>
        </is>
      </c>
      <c r="E2298" s="200" t="inlineStr">
        <is>
          <t>Sportin Red</t>
        </is>
      </c>
    </row>
    <row r="2299" ht="15" customHeight="1">
      <c r="A2299" s="196" t="n">
        <v>2295</v>
      </c>
      <c r="B2299" s="197" t="inlineStr">
        <is>
          <t>Toyota</t>
        </is>
      </c>
      <c r="C2299" s="198" t="inlineStr">
        <is>
          <t>Urban Cruiser Taisor</t>
        </is>
      </c>
      <c r="D2299" s="199" t="inlineStr">
        <is>
          <t>Standard</t>
        </is>
      </c>
      <c r="E2299" s="200" t="inlineStr">
        <is>
          <t>Sportin Red with Midnight Black</t>
        </is>
      </c>
    </row>
    <row r="2300" ht="15" customHeight="1">
      <c r="A2300" s="196" t="n">
        <v>2296</v>
      </c>
      <c r="B2300" s="197" t="inlineStr">
        <is>
          <t>Toyota</t>
        </is>
      </c>
      <c r="C2300" s="198" t="inlineStr">
        <is>
          <t>Vellfire</t>
        </is>
      </c>
      <c r="D2300" s="199" t="inlineStr">
        <is>
          <t>Standard</t>
        </is>
      </c>
      <c r="E2300" s="200" t="inlineStr">
        <is>
          <t>Black</t>
        </is>
      </c>
    </row>
    <row r="2301" ht="15" customHeight="1">
      <c r="A2301" s="196" t="n">
        <v>2297</v>
      </c>
      <c r="B2301" s="197" t="inlineStr">
        <is>
          <t>Toyota</t>
        </is>
      </c>
      <c r="C2301" s="198" t="inlineStr">
        <is>
          <t>Vellfire</t>
        </is>
      </c>
      <c r="D2301" s="199" t="inlineStr">
        <is>
          <t>Standard</t>
        </is>
      </c>
      <c r="E2301" s="200" t="inlineStr">
        <is>
          <t>Platinum White Pearl</t>
        </is>
      </c>
    </row>
    <row r="2302" ht="15" customHeight="1">
      <c r="A2302" s="196" t="n">
        <v>2298</v>
      </c>
      <c r="B2302" s="197" t="inlineStr">
        <is>
          <t>Toyota</t>
        </is>
      </c>
      <c r="C2302" s="198" t="inlineStr">
        <is>
          <t>Vellfire</t>
        </is>
      </c>
      <c r="D2302" s="199" t="inlineStr">
        <is>
          <t>Standard</t>
        </is>
      </c>
      <c r="E2302" s="200" t="inlineStr">
        <is>
          <t>Precious Metal</t>
        </is>
      </c>
    </row>
    <row r="2303" ht="15" customHeight="1">
      <c r="A2303" s="236" t="n">
        <v>2299</v>
      </c>
      <c r="B2303" s="237" t="inlineStr">
        <is>
          <t>Volkswagen</t>
        </is>
      </c>
      <c r="C2303" s="238" t="inlineStr">
        <is>
          <t>Golf GTI</t>
        </is>
      </c>
      <c r="D2303" s="239" t="inlineStr">
        <is>
          <t>Golf GTI 2.0L TSI</t>
        </is>
      </c>
      <c r="E2303" s="240" t="inlineStr">
        <is>
          <t>Grenadilla Black Metallic</t>
        </is>
      </c>
    </row>
    <row r="2304" ht="15" customHeight="1">
      <c r="A2304" s="236" t="n">
        <v>2300</v>
      </c>
      <c r="B2304" s="237" t="inlineStr">
        <is>
          <t>Volkswagen</t>
        </is>
      </c>
      <c r="C2304" s="238" t="inlineStr">
        <is>
          <t>Golf GTI</t>
        </is>
      </c>
      <c r="D2304" s="239" t="inlineStr">
        <is>
          <t>Golf GTI 2.0L TSI</t>
        </is>
      </c>
      <c r="E2304" s="240" t="inlineStr">
        <is>
          <t>Kings Red Metallic</t>
        </is>
      </c>
    </row>
    <row r="2305" ht="15" customHeight="1">
      <c r="A2305" s="236" t="n">
        <v>2301</v>
      </c>
      <c r="B2305" s="237" t="inlineStr">
        <is>
          <t>Volkswagen</t>
        </is>
      </c>
      <c r="C2305" s="238" t="inlineStr">
        <is>
          <t>Golf GTI</t>
        </is>
      </c>
      <c r="D2305" s="239" t="inlineStr">
        <is>
          <t>Golf GTI 2.0L TSI</t>
        </is>
      </c>
      <c r="E2305" s="240" t="inlineStr">
        <is>
          <t>Moonstone Grey Black</t>
        </is>
      </c>
    </row>
    <row r="2306" ht="15" customHeight="1">
      <c r="A2306" s="236" t="n">
        <v>2302</v>
      </c>
      <c r="B2306" s="237" t="inlineStr">
        <is>
          <t>Volkswagen</t>
        </is>
      </c>
      <c r="C2306" s="238" t="inlineStr">
        <is>
          <t>Golf GTI</t>
        </is>
      </c>
      <c r="D2306" s="239" t="inlineStr">
        <is>
          <t>Golf GTI 2.0L TSI</t>
        </is>
      </c>
      <c r="E2306" s="240" t="inlineStr">
        <is>
          <t>Oryx White Mother-of-Pearl Effect</t>
        </is>
      </c>
    </row>
    <row r="2307" ht="15" customHeight="1">
      <c r="A2307" s="236" t="n">
        <v>2303</v>
      </c>
      <c r="B2307" s="237" t="inlineStr">
        <is>
          <t>Volkswagen</t>
        </is>
      </c>
      <c r="C2307" s="238" t="inlineStr">
        <is>
          <t>Polo</t>
        </is>
      </c>
      <c r="D2307" s="239" t="inlineStr">
        <is>
          <t>Polo Comfortline</t>
        </is>
      </c>
      <c r="E2307" s="240" t="inlineStr">
        <is>
          <t>Candy White</t>
        </is>
      </c>
    </row>
    <row r="2308" ht="15" customHeight="1">
      <c r="A2308" s="236" t="n">
        <v>2304</v>
      </c>
      <c r="B2308" s="237" t="inlineStr">
        <is>
          <t>Volkswagen</t>
        </is>
      </c>
      <c r="C2308" s="238" t="inlineStr">
        <is>
          <t>Polo</t>
        </is>
      </c>
      <c r="D2308" s="239" t="inlineStr">
        <is>
          <t>Polo Comfortline</t>
        </is>
      </c>
      <c r="E2308" s="240" t="inlineStr">
        <is>
          <t>Carbon Steel</t>
        </is>
      </c>
    </row>
    <row r="2309" ht="15" customHeight="1">
      <c r="A2309" s="236" t="n">
        <v>2305</v>
      </c>
      <c r="B2309" s="237" t="inlineStr">
        <is>
          <t>Volkswagen</t>
        </is>
      </c>
      <c r="C2309" s="238" t="inlineStr">
        <is>
          <t>Polo</t>
        </is>
      </c>
      <c r="D2309" s="239" t="inlineStr">
        <is>
          <t>Polo Comfortline</t>
        </is>
      </c>
      <c r="E2309" s="240" t="inlineStr">
        <is>
          <t>Flash Red</t>
        </is>
      </c>
    </row>
    <row r="2310" ht="15" customHeight="1">
      <c r="A2310" s="236" t="n">
        <v>2306</v>
      </c>
      <c r="B2310" s="237" t="inlineStr">
        <is>
          <t>Volkswagen</t>
        </is>
      </c>
      <c r="C2310" s="238" t="inlineStr">
        <is>
          <t>Polo</t>
        </is>
      </c>
      <c r="D2310" s="239" t="inlineStr">
        <is>
          <t>Polo Comfortline</t>
        </is>
      </c>
      <c r="E2310" s="240" t="inlineStr">
        <is>
          <t>Sunset Red</t>
        </is>
      </c>
    </row>
    <row r="2311" ht="15" customHeight="1">
      <c r="A2311" s="236" t="n">
        <v>2307</v>
      </c>
      <c r="B2311" s="237" t="inlineStr">
        <is>
          <t>Volkswagen</t>
        </is>
      </c>
      <c r="C2311" s="238" t="inlineStr">
        <is>
          <t>Polo</t>
        </is>
      </c>
      <c r="D2311" s="239" t="inlineStr">
        <is>
          <t>Polo Comfortline Plus</t>
        </is>
      </c>
      <c r="E2311" s="240" t="inlineStr">
        <is>
          <t>Candy White</t>
        </is>
      </c>
    </row>
    <row r="2312" ht="15" customHeight="1">
      <c r="A2312" s="236" t="n">
        <v>2308</v>
      </c>
      <c r="B2312" s="237" t="inlineStr">
        <is>
          <t>Volkswagen</t>
        </is>
      </c>
      <c r="C2312" s="238" t="inlineStr">
        <is>
          <t>Polo</t>
        </is>
      </c>
      <c r="D2312" s="239" t="inlineStr">
        <is>
          <t>Polo Comfortline Plus</t>
        </is>
      </c>
      <c r="E2312" s="240" t="inlineStr">
        <is>
          <t>Carbon Steel</t>
        </is>
      </c>
    </row>
    <row r="2313" ht="15" customHeight="1">
      <c r="A2313" s="236" t="n">
        <v>2309</v>
      </c>
      <c r="B2313" s="237" t="inlineStr">
        <is>
          <t>Volkswagen</t>
        </is>
      </c>
      <c r="C2313" s="238" t="inlineStr">
        <is>
          <t>Polo</t>
        </is>
      </c>
      <c r="D2313" s="239" t="inlineStr">
        <is>
          <t>Polo Comfortline Plus</t>
        </is>
      </c>
      <c r="E2313" s="240" t="inlineStr">
        <is>
          <t>Flash Red</t>
        </is>
      </c>
    </row>
    <row r="2314" ht="15" customHeight="1">
      <c r="A2314" s="236" t="n">
        <v>2310</v>
      </c>
      <c r="B2314" s="237" t="inlineStr">
        <is>
          <t>Volkswagen</t>
        </is>
      </c>
      <c r="C2314" s="238" t="inlineStr">
        <is>
          <t>Polo</t>
        </is>
      </c>
      <c r="D2314" s="239" t="inlineStr">
        <is>
          <t>Polo Comfortline Plus</t>
        </is>
      </c>
      <c r="E2314" s="240" t="inlineStr">
        <is>
          <t>Reflex Silver</t>
        </is>
      </c>
    </row>
    <row r="2315" ht="15" customHeight="1">
      <c r="A2315" s="236" t="n">
        <v>2311</v>
      </c>
      <c r="B2315" s="237" t="inlineStr">
        <is>
          <t>Volkswagen</t>
        </is>
      </c>
      <c r="C2315" s="238" t="inlineStr">
        <is>
          <t>Polo</t>
        </is>
      </c>
      <c r="D2315" s="239" t="inlineStr">
        <is>
          <t>Polo Comfortline Plus</t>
        </is>
      </c>
      <c r="E2315" s="240" t="inlineStr">
        <is>
          <t>Sunset Red</t>
        </is>
      </c>
    </row>
    <row r="2316" ht="15" customHeight="1">
      <c r="A2316" s="236" t="n">
        <v>2312</v>
      </c>
      <c r="B2316" s="237" t="inlineStr">
        <is>
          <t>Volkswagen</t>
        </is>
      </c>
      <c r="C2316" s="238" t="inlineStr">
        <is>
          <t>Polo</t>
        </is>
      </c>
      <c r="D2316" s="239" t="inlineStr">
        <is>
          <t>Polo ComfortlineL</t>
        </is>
      </c>
      <c r="E2316" s="240" t="inlineStr">
        <is>
          <t>Candy White</t>
        </is>
      </c>
    </row>
    <row r="2317" ht="15" customHeight="1">
      <c r="A2317" s="236" t="n">
        <v>2313</v>
      </c>
      <c r="B2317" s="237" t="inlineStr">
        <is>
          <t>Volkswagen</t>
        </is>
      </c>
      <c r="C2317" s="238" t="inlineStr">
        <is>
          <t>Polo</t>
        </is>
      </c>
      <c r="D2317" s="239" t="inlineStr">
        <is>
          <t>Polo ComfortlineL</t>
        </is>
      </c>
      <c r="E2317" s="240" t="inlineStr">
        <is>
          <t>Carbon Steel</t>
        </is>
      </c>
    </row>
    <row r="2318" ht="15" customHeight="1">
      <c r="A2318" s="236" t="n">
        <v>2314</v>
      </c>
      <c r="B2318" s="237" t="inlineStr">
        <is>
          <t>Volkswagen</t>
        </is>
      </c>
      <c r="C2318" s="238" t="inlineStr">
        <is>
          <t>Polo</t>
        </is>
      </c>
      <c r="D2318" s="239" t="inlineStr">
        <is>
          <t>Polo ComfortlineL</t>
        </is>
      </c>
      <c r="E2318" s="240" t="inlineStr">
        <is>
          <t>Flash Red</t>
        </is>
      </c>
    </row>
    <row r="2319" ht="15" customHeight="1">
      <c r="A2319" s="236" t="n">
        <v>2315</v>
      </c>
      <c r="B2319" s="237" t="inlineStr">
        <is>
          <t>Volkswagen</t>
        </is>
      </c>
      <c r="C2319" s="238" t="inlineStr">
        <is>
          <t>Polo</t>
        </is>
      </c>
      <c r="D2319" s="239" t="inlineStr">
        <is>
          <t>Polo ComfortlineL</t>
        </is>
      </c>
      <c r="E2319" s="240" t="inlineStr">
        <is>
          <t>Sunset Red</t>
        </is>
      </c>
    </row>
    <row r="2320" ht="15" customHeight="1">
      <c r="A2320" s="236" t="n">
        <v>2316</v>
      </c>
      <c r="B2320" s="237" t="inlineStr">
        <is>
          <t>Volkswagen</t>
        </is>
      </c>
      <c r="C2320" s="238" t="inlineStr">
        <is>
          <t>Polo</t>
        </is>
      </c>
      <c r="D2320" s="239" t="inlineStr">
        <is>
          <t>Polo GT</t>
        </is>
      </c>
      <c r="E2320" s="240" t="inlineStr">
        <is>
          <t>Candy White</t>
        </is>
      </c>
    </row>
    <row r="2321" ht="15" customHeight="1">
      <c r="A2321" s="236" t="n">
        <v>2317</v>
      </c>
      <c r="B2321" s="237" t="inlineStr">
        <is>
          <t>Volkswagen</t>
        </is>
      </c>
      <c r="C2321" s="238" t="inlineStr">
        <is>
          <t>Polo</t>
        </is>
      </c>
      <c r="D2321" s="239" t="inlineStr">
        <is>
          <t>Polo GT</t>
        </is>
      </c>
      <c r="E2321" s="240" t="inlineStr">
        <is>
          <t>Carbon Steel</t>
        </is>
      </c>
    </row>
    <row r="2322" ht="15" customHeight="1">
      <c r="A2322" s="236" t="n">
        <v>2318</v>
      </c>
      <c r="B2322" s="237" t="inlineStr">
        <is>
          <t>Volkswagen</t>
        </is>
      </c>
      <c r="C2322" s="238" t="inlineStr">
        <is>
          <t>Polo</t>
        </is>
      </c>
      <c r="D2322" s="239" t="inlineStr">
        <is>
          <t>Polo GT</t>
        </is>
      </c>
      <c r="E2322" s="240" t="inlineStr">
        <is>
          <t>Flash Red</t>
        </is>
      </c>
    </row>
    <row r="2323" ht="15" customHeight="1">
      <c r="A2323" s="236" t="n">
        <v>2319</v>
      </c>
      <c r="B2323" s="237" t="inlineStr">
        <is>
          <t>Volkswagen</t>
        </is>
      </c>
      <c r="C2323" s="238" t="inlineStr">
        <is>
          <t>Polo</t>
        </is>
      </c>
      <c r="D2323" s="239" t="inlineStr">
        <is>
          <t>Polo GT</t>
        </is>
      </c>
      <c r="E2323" s="240" t="inlineStr">
        <is>
          <t>Sunset Red</t>
        </is>
      </c>
    </row>
    <row r="2324" ht="15" customHeight="1">
      <c r="A2324" s="236" t="n">
        <v>2320</v>
      </c>
      <c r="B2324" s="237" t="inlineStr">
        <is>
          <t>Volkswagen</t>
        </is>
      </c>
      <c r="C2324" s="238" t="inlineStr">
        <is>
          <t>Polo</t>
        </is>
      </c>
      <c r="D2324" s="239" t="inlineStr">
        <is>
          <t>Polo Highline</t>
        </is>
      </c>
      <c r="E2324" s="240" t="inlineStr">
        <is>
          <t>Candy White</t>
        </is>
      </c>
    </row>
    <row r="2325" ht="15" customHeight="1">
      <c r="A2325" s="236" t="n">
        <v>2321</v>
      </c>
      <c r="B2325" s="237" t="inlineStr">
        <is>
          <t>Volkswagen</t>
        </is>
      </c>
      <c r="C2325" s="238" t="inlineStr">
        <is>
          <t>Polo</t>
        </is>
      </c>
      <c r="D2325" s="239" t="inlineStr">
        <is>
          <t>Polo Highline</t>
        </is>
      </c>
      <c r="E2325" s="240" t="inlineStr">
        <is>
          <t>Carbon Steel</t>
        </is>
      </c>
    </row>
    <row r="2326" ht="15" customHeight="1">
      <c r="A2326" s="236" t="n">
        <v>2322</v>
      </c>
      <c r="B2326" s="237" t="inlineStr">
        <is>
          <t>Volkswagen</t>
        </is>
      </c>
      <c r="C2326" s="238" t="inlineStr">
        <is>
          <t>Polo</t>
        </is>
      </c>
      <c r="D2326" s="239" t="inlineStr">
        <is>
          <t>Polo Highline</t>
        </is>
      </c>
      <c r="E2326" s="240" t="inlineStr">
        <is>
          <t>Flash Red</t>
        </is>
      </c>
    </row>
    <row r="2327" ht="15" customHeight="1">
      <c r="A2327" s="236" t="n">
        <v>2323</v>
      </c>
      <c r="B2327" s="237" t="inlineStr">
        <is>
          <t>Volkswagen</t>
        </is>
      </c>
      <c r="C2327" s="238" t="inlineStr">
        <is>
          <t>Polo</t>
        </is>
      </c>
      <c r="D2327" s="239" t="inlineStr">
        <is>
          <t>Polo Highline</t>
        </is>
      </c>
      <c r="E2327" s="240" t="inlineStr">
        <is>
          <t>Sunset Red</t>
        </is>
      </c>
    </row>
    <row r="2328" ht="15" customHeight="1">
      <c r="A2328" s="236" t="n">
        <v>2324</v>
      </c>
      <c r="B2328" s="237" t="inlineStr">
        <is>
          <t>Volkswagen</t>
        </is>
      </c>
      <c r="C2328" s="238" t="inlineStr">
        <is>
          <t>Polo</t>
        </is>
      </c>
      <c r="D2328" s="239" t="inlineStr">
        <is>
          <t>Polo Highline Plus</t>
        </is>
      </c>
      <c r="E2328" s="240" t="inlineStr">
        <is>
          <t>Candy White</t>
        </is>
      </c>
    </row>
    <row r="2329" ht="15" customHeight="1">
      <c r="A2329" s="236" t="n">
        <v>2325</v>
      </c>
      <c r="B2329" s="237" t="inlineStr">
        <is>
          <t>Volkswagen</t>
        </is>
      </c>
      <c r="C2329" s="238" t="inlineStr">
        <is>
          <t>Polo</t>
        </is>
      </c>
      <c r="D2329" s="239" t="inlineStr">
        <is>
          <t>Polo Highline Plus</t>
        </is>
      </c>
      <c r="E2329" s="240" t="inlineStr">
        <is>
          <t>Carbon Steel</t>
        </is>
      </c>
    </row>
    <row r="2330" ht="15" customHeight="1">
      <c r="A2330" s="236" t="n">
        <v>2326</v>
      </c>
      <c r="B2330" s="237" t="inlineStr">
        <is>
          <t>Volkswagen</t>
        </is>
      </c>
      <c r="C2330" s="238" t="inlineStr">
        <is>
          <t>Polo</t>
        </is>
      </c>
      <c r="D2330" s="239" t="inlineStr">
        <is>
          <t>Polo Highline Plus</t>
        </is>
      </c>
      <c r="E2330" s="240" t="inlineStr">
        <is>
          <t>Flash Red</t>
        </is>
      </c>
    </row>
    <row r="2331" ht="15" customHeight="1">
      <c r="A2331" s="236" t="n">
        <v>2327</v>
      </c>
      <c r="B2331" s="237" t="inlineStr">
        <is>
          <t>Volkswagen</t>
        </is>
      </c>
      <c r="C2331" s="238" t="inlineStr">
        <is>
          <t>Polo</t>
        </is>
      </c>
      <c r="D2331" s="239" t="inlineStr">
        <is>
          <t>Polo Highline Plus</t>
        </is>
      </c>
      <c r="E2331" s="240" t="inlineStr">
        <is>
          <t>Sunset Red</t>
        </is>
      </c>
    </row>
    <row r="2332" ht="15" customHeight="1">
      <c r="A2332" s="236" t="n">
        <v>2328</v>
      </c>
      <c r="B2332" s="237" t="inlineStr">
        <is>
          <t>Volkswagen</t>
        </is>
      </c>
      <c r="C2332" s="238" t="inlineStr">
        <is>
          <t>Polo</t>
        </is>
      </c>
      <c r="D2332" s="239" t="inlineStr">
        <is>
          <t>Polo Legend</t>
        </is>
      </c>
      <c r="E2332" s="240" t="inlineStr">
        <is>
          <t>Candy White</t>
        </is>
      </c>
    </row>
    <row r="2333" ht="15" customHeight="1">
      <c r="A2333" s="236" t="n">
        <v>2329</v>
      </c>
      <c r="B2333" s="237" t="inlineStr">
        <is>
          <t>Volkswagen</t>
        </is>
      </c>
      <c r="C2333" s="238" t="inlineStr">
        <is>
          <t>Polo</t>
        </is>
      </c>
      <c r="D2333" s="239" t="inlineStr">
        <is>
          <t>Polo Legend</t>
        </is>
      </c>
      <c r="E2333" s="240" t="inlineStr">
        <is>
          <t>Carbon Steel</t>
        </is>
      </c>
    </row>
    <row r="2334" ht="15" customHeight="1">
      <c r="A2334" s="236" t="n">
        <v>2330</v>
      </c>
      <c r="B2334" s="237" t="inlineStr">
        <is>
          <t>Volkswagen</t>
        </is>
      </c>
      <c r="C2334" s="238" t="inlineStr">
        <is>
          <t>Polo</t>
        </is>
      </c>
      <c r="D2334" s="239" t="inlineStr">
        <is>
          <t>Polo Legend</t>
        </is>
      </c>
      <c r="E2334" s="240" t="inlineStr">
        <is>
          <t>Flash Red</t>
        </is>
      </c>
    </row>
    <row r="2335" ht="15" customHeight="1">
      <c r="A2335" s="236" t="n">
        <v>2331</v>
      </c>
      <c r="B2335" s="237" t="inlineStr">
        <is>
          <t>Volkswagen</t>
        </is>
      </c>
      <c r="C2335" s="238" t="inlineStr">
        <is>
          <t>Polo</t>
        </is>
      </c>
      <c r="D2335" s="239" t="inlineStr">
        <is>
          <t>Polo Limited</t>
        </is>
      </c>
      <c r="E2335" s="240" t="inlineStr">
        <is>
          <t>Candy White</t>
        </is>
      </c>
    </row>
    <row r="2336" ht="15" customHeight="1">
      <c r="A2336" s="236" t="n">
        <v>2332</v>
      </c>
      <c r="B2336" s="237" t="inlineStr">
        <is>
          <t>Volkswagen</t>
        </is>
      </c>
      <c r="C2336" s="238" t="inlineStr">
        <is>
          <t>Polo</t>
        </is>
      </c>
      <c r="D2336" s="239" t="inlineStr">
        <is>
          <t>Polo Limited</t>
        </is>
      </c>
      <c r="E2336" s="240" t="inlineStr">
        <is>
          <t>Carbon Steel</t>
        </is>
      </c>
    </row>
    <row r="2337" ht="15" customHeight="1">
      <c r="A2337" s="236" t="n">
        <v>2333</v>
      </c>
      <c r="B2337" s="237" t="inlineStr">
        <is>
          <t>Volkswagen</t>
        </is>
      </c>
      <c r="C2337" s="238" t="inlineStr">
        <is>
          <t>Polo</t>
        </is>
      </c>
      <c r="D2337" s="239" t="inlineStr">
        <is>
          <t>Polo Limited</t>
        </is>
      </c>
      <c r="E2337" s="240" t="inlineStr">
        <is>
          <t>Flash Red</t>
        </is>
      </c>
    </row>
    <row r="2338" ht="15" customHeight="1">
      <c r="A2338" s="236" t="n">
        <v>2334</v>
      </c>
      <c r="B2338" s="237" t="inlineStr">
        <is>
          <t>Volkswagen</t>
        </is>
      </c>
      <c r="C2338" s="238" t="inlineStr">
        <is>
          <t>Polo</t>
        </is>
      </c>
      <c r="D2338" s="239" t="inlineStr">
        <is>
          <t>Polo Limited</t>
        </is>
      </c>
      <c r="E2338" s="240" t="inlineStr">
        <is>
          <t>Sunset Red</t>
        </is>
      </c>
    </row>
    <row r="2339" ht="15" customHeight="1">
      <c r="A2339" s="236" t="n">
        <v>2335</v>
      </c>
      <c r="B2339" s="237" t="inlineStr">
        <is>
          <t>Volkswagen</t>
        </is>
      </c>
      <c r="C2339" s="238" t="inlineStr">
        <is>
          <t>Polo</t>
        </is>
      </c>
      <c r="D2339" s="239" t="inlineStr">
        <is>
          <t>Polo Matt</t>
        </is>
      </c>
      <c r="E2339" s="240" t="inlineStr">
        <is>
          <t>Carbon Steel</t>
        </is>
      </c>
    </row>
    <row r="2340" ht="15" customHeight="1">
      <c r="A2340" s="236" t="n">
        <v>2336</v>
      </c>
      <c r="B2340" s="237" t="inlineStr">
        <is>
          <t>Volkswagen</t>
        </is>
      </c>
      <c r="C2340" s="238" t="inlineStr">
        <is>
          <t>Polo</t>
        </is>
      </c>
      <c r="D2340" s="239" t="inlineStr">
        <is>
          <t>Polo Red and White</t>
        </is>
      </c>
      <c r="E2340" s="240" t="inlineStr">
        <is>
          <t>Candy White</t>
        </is>
      </c>
    </row>
    <row r="2341" ht="15" customHeight="1">
      <c r="A2341" s="236" t="n">
        <v>2337</v>
      </c>
      <c r="B2341" s="237" t="inlineStr">
        <is>
          <t>Volkswagen</t>
        </is>
      </c>
      <c r="C2341" s="238" t="inlineStr">
        <is>
          <t>Polo</t>
        </is>
      </c>
      <c r="D2341" s="239" t="inlineStr">
        <is>
          <t>Polo Red and White</t>
        </is>
      </c>
      <c r="E2341" s="240" t="inlineStr">
        <is>
          <t>Flash Red</t>
        </is>
      </c>
    </row>
    <row r="2342" ht="15" customHeight="1">
      <c r="A2342" s="236" t="n">
        <v>2338</v>
      </c>
      <c r="B2342" s="237" t="inlineStr">
        <is>
          <t>Volkswagen</t>
        </is>
      </c>
      <c r="C2342" s="238" t="inlineStr">
        <is>
          <t>Polo</t>
        </is>
      </c>
      <c r="D2342" s="239" t="inlineStr">
        <is>
          <t>Polo Red and White</t>
        </is>
      </c>
      <c r="E2342" s="240" t="inlineStr">
        <is>
          <t>Sunset Red</t>
        </is>
      </c>
    </row>
    <row r="2343" ht="15" customHeight="1">
      <c r="A2343" s="236" t="n">
        <v>2339</v>
      </c>
      <c r="B2343" s="237" t="inlineStr">
        <is>
          <t>Volkswagen</t>
        </is>
      </c>
      <c r="C2343" s="238" t="inlineStr">
        <is>
          <t>Polo</t>
        </is>
      </c>
      <c r="D2343" s="239" t="inlineStr">
        <is>
          <t>Polo Trendline</t>
        </is>
      </c>
      <c r="E2343" s="240" t="inlineStr">
        <is>
          <t>Candy White</t>
        </is>
      </c>
    </row>
    <row r="2344" ht="15" customHeight="1">
      <c r="A2344" s="236" t="n">
        <v>2340</v>
      </c>
      <c r="B2344" s="237" t="inlineStr">
        <is>
          <t>Volkswagen</t>
        </is>
      </c>
      <c r="C2344" s="238" t="inlineStr">
        <is>
          <t>Polo</t>
        </is>
      </c>
      <c r="D2344" s="239" t="inlineStr">
        <is>
          <t>Polo Trendline</t>
        </is>
      </c>
      <c r="E2344" s="240" t="inlineStr">
        <is>
          <t>Carbon Steel</t>
        </is>
      </c>
    </row>
    <row r="2345" ht="15" customHeight="1">
      <c r="A2345" s="236" t="n">
        <v>2341</v>
      </c>
      <c r="B2345" s="237" t="inlineStr">
        <is>
          <t>Volkswagen</t>
        </is>
      </c>
      <c r="C2345" s="238" t="inlineStr">
        <is>
          <t>Polo</t>
        </is>
      </c>
      <c r="D2345" s="239" t="inlineStr">
        <is>
          <t>Polo Trendline</t>
        </is>
      </c>
      <c r="E2345" s="240" t="inlineStr">
        <is>
          <t>Flash Red</t>
        </is>
      </c>
    </row>
    <row r="2346" ht="15" customHeight="1">
      <c r="A2346" s="236" t="n">
        <v>2342</v>
      </c>
      <c r="B2346" s="237" t="inlineStr">
        <is>
          <t>Volkswagen</t>
        </is>
      </c>
      <c r="C2346" s="238" t="inlineStr">
        <is>
          <t>Polo</t>
        </is>
      </c>
      <c r="D2346" s="239" t="inlineStr">
        <is>
          <t>Polo Trendline</t>
        </is>
      </c>
      <c r="E2346" s="240" t="inlineStr">
        <is>
          <t>Sunset Red</t>
        </is>
      </c>
    </row>
    <row r="2347" ht="15" customHeight="1">
      <c r="A2347" s="236" t="n">
        <v>2343</v>
      </c>
      <c r="B2347" s="237" t="inlineStr">
        <is>
          <t>Volkswagen</t>
        </is>
      </c>
      <c r="C2347" s="238" t="inlineStr">
        <is>
          <t>Polo</t>
        </is>
      </c>
      <c r="D2347" s="239" t="inlineStr">
        <is>
          <t>Polo TrendlineL</t>
        </is>
      </c>
      <c r="E2347" s="240" t="inlineStr">
        <is>
          <t>Candy White</t>
        </is>
      </c>
    </row>
    <row r="2348" ht="15" customHeight="1">
      <c r="A2348" s="236" t="n">
        <v>2344</v>
      </c>
      <c r="B2348" s="237" t="inlineStr">
        <is>
          <t>Volkswagen</t>
        </is>
      </c>
      <c r="C2348" s="238" t="inlineStr">
        <is>
          <t>Polo</t>
        </is>
      </c>
      <c r="D2348" s="239" t="inlineStr">
        <is>
          <t>Polo TrendlineL</t>
        </is>
      </c>
      <c r="E2348" s="240" t="inlineStr">
        <is>
          <t>Carbon Steel</t>
        </is>
      </c>
    </row>
    <row r="2349" ht="15" customHeight="1">
      <c r="A2349" s="236" t="n">
        <v>2345</v>
      </c>
      <c r="B2349" s="237" t="inlineStr">
        <is>
          <t>Volkswagen</t>
        </is>
      </c>
      <c r="C2349" s="238" t="inlineStr">
        <is>
          <t>Polo</t>
        </is>
      </c>
      <c r="D2349" s="239" t="inlineStr">
        <is>
          <t>Polo TrendlineL</t>
        </is>
      </c>
      <c r="E2349" s="240" t="inlineStr">
        <is>
          <t>Flash Red</t>
        </is>
      </c>
    </row>
    <row r="2350" ht="15" customHeight="1">
      <c r="A2350" s="236" t="n">
        <v>2346</v>
      </c>
      <c r="B2350" s="237" t="inlineStr">
        <is>
          <t>Volkswagen</t>
        </is>
      </c>
      <c r="C2350" s="238" t="inlineStr">
        <is>
          <t>Polo</t>
        </is>
      </c>
      <c r="D2350" s="239" t="inlineStr">
        <is>
          <t>Polo TrendlineL</t>
        </is>
      </c>
      <c r="E2350" s="240" t="inlineStr">
        <is>
          <t>Sunset Red</t>
        </is>
      </c>
    </row>
    <row r="2351" ht="15" customHeight="1">
      <c r="A2351" s="236" t="n">
        <v>2347</v>
      </c>
      <c r="B2351" s="237" t="inlineStr">
        <is>
          <t>Volkswagen</t>
        </is>
      </c>
      <c r="C2351" s="238" t="inlineStr">
        <is>
          <t>Polo</t>
        </is>
      </c>
      <c r="D2351" s="239" t="inlineStr">
        <is>
          <t>Polo Turbo</t>
        </is>
      </c>
      <c r="E2351" s="240" t="inlineStr">
        <is>
          <t>Candy White</t>
        </is>
      </c>
    </row>
    <row r="2352" ht="15" customHeight="1">
      <c r="A2352" s="236" t="n">
        <v>2348</v>
      </c>
      <c r="B2352" s="237" t="inlineStr">
        <is>
          <t>Volkswagen</t>
        </is>
      </c>
      <c r="C2352" s="238" t="inlineStr">
        <is>
          <t>Polo</t>
        </is>
      </c>
      <c r="D2352" s="239" t="inlineStr">
        <is>
          <t>Polo Turbo</t>
        </is>
      </c>
      <c r="E2352" s="240" t="inlineStr">
        <is>
          <t>Carbon Steel</t>
        </is>
      </c>
    </row>
    <row r="2353" ht="15" customHeight="1">
      <c r="A2353" s="236" t="n">
        <v>2349</v>
      </c>
      <c r="B2353" s="237" t="inlineStr">
        <is>
          <t>Volkswagen</t>
        </is>
      </c>
      <c r="C2353" s="238" t="inlineStr">
        <is>
          <t>Polo</t>
        </is>
      </c>
      <c r="D2353" s="239" t="inlineStr">
        <is>
          <t>Polo Turbo</t>
        </is>
      </c>
      <c r="E2353" s="240" t="inlineStr">
        <is>
          <t>Flash Red</t>
        </is>
      </c>
    </row>
    <row r="2354" ht="15" customHeight="1">
      <c r="A2354" s="236" t="n">
        <v>2350</v>
      </c>
      <c r="B2354" s="237" t="inlineStr">
        <is>
          <t>Volkswagen</t>
        </is>
      </c>
      <c r="C2354" s="238" t="inlineStr">
        <is>
          <t>Polo</t>
        </is>
      </c>
      <c r="D2354" s="239" t="inlineStr">
        <is>
          <t>Polo Turbo</t>
        </is>
      </c>
      <c r="E2354" s="240" t="inlineStr">
        <is>
          <t>Reflex Silver</t>
        </is>
      </c>
    </row>
    <row r="2355" ht="15" customHeight="1">
      <c r="A2355" s="236" t="n">
        <v>2351</v>
      </c>
      <c r="B2355" s="237" t="inlineStr">
        <is>
          <t>Volkswagen</t>
        </is>
      </c>
      <c r="C2355" s="238" t="inlineStr">
        <is>
          <t>Polo</t>
        </is>
      </c>
      <c r="D2355" s="239" t="inlineStr">
        <is>
          <t>Polo Turbo</t>
        </is>
      </c>
      <c r="E2355" s="240" t="inlineStr">
        <is>
          <t>Sunset Red</t>
        </is>
      </c>
    </row>
    <row r="2356" ht="15" customHeight="1">
      <c r="A2356" s="236" t="n">
        <v>2352</v>
      </c>
      <c r="B2356" s="237" t="inlineStr">
        <is>
          <t>Volkswagen</t>
        </is>
      </c>
      <c r="C2356" s="238" t="inlineStr">
        <is>
          <t>Taigun</t>
        </is>
      </c>
      <c r="D2356" s="239" t="inlineStr">
        <is>
          <t>Taigun Comfortline</t>
        </is>
      </c>
      <c r="E2356" s="240" t="inlineStr">
        <is>
          <t>Avocado Pearl Effect</t>
        </is>
      </c>
    </row>
    <row r="2357" ht="15" customHeight="1">
      <c r="A2357" s="236" t="n">
        <v>2353</v>
      </c>
      <c r="B2357" s="237" t="inlineStr">
        <is>
          <t>Volkswagen</t>
        </is>
      </c>
      <c r="C2357" s="238" t="inlineStr">
        <is>
          <t>Taigun</t>
        </is>
      </c>
      <c r="D2357" s="239" t="inlineStr">
        <is>
          <t>Taigun Comfortline</t>
        </is>
      </c>
      <c r="E2357" s="240" t="inlineStr">
        <is>
          <t>Candy White</t>
        </is>
      </c>
    </row>
    <row r="2358" ht="15" customHeight="1">
      <c r="A2358" s="236" t="n">
        <v>2354</v>
      </c>
      <c r="B2358" s="237" t="inlineStr">
        <is>
          <t>Volkswagen</t>
        </is>
      </c>
      <c r="C2358" s="238" t="inlineStr">
        <is>
          <t>Taigun</t>
        </is>
      </c>
      <c r="D2358" s="239" t="inlineStr">
        <is>
          <t>Taigun Comfortline</t>
        </is>
      </c>
      <c r="E2358" s="240" t="inlineStr">
        <is>
          <t>Carbon Steel Grey Metallic</t>
        </is>
      </c>
    </row>
    <row r="2359" ht="15" customHeight="1">
      <c r="A2359" s="236" t="n">
        <v>2355</v>
      </c>
      <c r="B2359" s="237" t="inlineStr">
        <is>
          <t>Volkswagen</t>
        </is>
      </c>
      <c r="C2359" s="238" t="inlineStr">
        <is>
          <t>Taigun</t>
        </is>
      </c>
      <c r="D2359" s="239" t="inlineStr">
        <is>
          <t>Taigun Comfortline</t>
        </is>
      </c>
      <c r="E2359" s="240" t="inlineStr">
        <is>
          <t>Lava Blue Metallic</t>
        </is>
      </c>
    </row>
    <row r="2360" ht="15" customHeight="1">
      <c r="A2360" s="236" t="n">
        <v>2356</v>
      </c>
      <c r="B2360" s="237" t="inlineStr">
        <is>
          <t>Volkswagen</t>
        </is>
      </c>
      <c r="C2360" s="238" t="inlineStr">
        <is>
          <t>Taigun</t>
        </is>
      </c>
      <c r="D2360" s="239" t="inlineStr">
        <is>
          <t>Taigun Comfortline</t>
        </is>
      </c>
      <c r="E2360" s="240" t="inlineStr">
        <is>
          <t>Reflex Silver Metallic</t>
        </is>
      </c>
    </row>
    <row r="2361" ht="15" customHeight="1">
      <c r="A2361" s="236" t="n">
        <v>2357</v>
      </c>
      <c r="B2361" s="237" t="inlineStr">
        <is>
          <t>Volkswagen</t>
        </is>
      </c>
      <c r="C2361" s="238" t="inlineStr">
        <is>
          <t>Taigun</t>
        </is>
      </c>
      <c r="D2361" s="239" t="inlineStr">
        <is>
          <t>Taigun Comfortline</t>
        </is>
      </c>
      <c r="E2361" s="240" t="inlineStr">
        <is>
          <t>Steel Grey</t>
        </is>
      </c>
    </row>
    <row r="2362" ht="15" customHeight="1">
      <c r="A2362" s="236" t="n">
        <v>2358</v>
      </c>
      <c r="B2362" s="237" t="inlineStr">
        <is>
          <t>Volkswagen</t>
        </is>
      </c>
      <c r="C2362" s="238" t="inlineStr">
        <is>
          <t>Taigun</t>
        </is>
      </c>
      <c r="D2362" s="239" t="inlineStr">
        <is>
          <t>Taigun Comfortline</t>
        </is>
      </c>
      <c r="E2362" s="240" t="inlineStr">
        <is>
          <t>Wild Cherry Red Metallic</t>
        </is>
      </c>
    </row>
    <row r="2363" ht="15" customHeight="1">
      <c r="A2363" s="236" t="n">
        <v>2359</v>
      </c>
      <c r="B2363" s="237" t="inlineStr">
        <is>
          <t>Volkswagen</t>
        </is>
      </c>
      <c r="C2363" s="238" t="inlineStr">
        <is>
          <t>Taigun</t>
        </is>
      </c>
      <c r="D2363" s="239" t="inlineStr">
        <is>
          <t>Taigun GT Line</t>
        </is>
      </c>
      <c r="E2363" s="240" t="inlineStr">
        <is>
          <t>Avocado Pearl Effect</t>
        </is>
      </c>
    </row>
    <row r="2364" ht="15" customHeight="1">
      <c r="A2364" s="236" t="n">
        <v>2360</v>
      </c>
      <c r="B2364" s="237" t="inlineStr">
        <is>
          <t>Volkswagen</t>
        </is>
      </c>
      <c r="C2364" s="238" t="inlineStr">
        <is>
          <t>Taigun</t>
        </is>
      </c>
      <c r="D2364" s="239" t="inlineStr">
        <is>
          <t>Taigun GT Line</t>
        </is>
      </c>
      <c r="E2364" s="240" t="inlineStr">
        <is>
          <t>Candy White</t>
        </is>
      </c>
    </row>
    <row r="2365" ht="15" customHeight="1">
      <c r="A2365" s="236" t="n">
        <v>2361</v>
      </c>
      <c r="B2365" s="237" t="inlineStr">
        <is>
          <t>Volkswagen</t>
        </is>
      </c>
      <c r="C2365" s="238" t="inlineStr">
        <is>
          <t>Taigun</t>
        </is>
      </c>
      <c r="D2365" s="239" t="inlineStr">
        <is>
          <t>Taigun GT Line</t>
        </is>
      </c>
      <c r="E2365" s="240" t="inlineStr">
        <is>
          <t>Carbon Steel Grey Metallic</t>
        </is>
      </c>
    </row>
    <row r="2366" ht="15" customHeight="1">
      <c r="A2366" s="236" t="n">
        <v>2362</v>
      </c>
      <c r="B2366" s="237" t="inlineStr">
        <is>
          <t>Volkswagen</t>
        </is>
      </c>
      <c r="C2366" s="238" t="inlineStr">
        <is>
          <t>Taigun</t>
        </is>
      </c>
      <c r="D2366" s="239" t="inlineStr">
        <is>
          <t>Taigun GT Line</t>
        </is>
      </c>
      <c r="E2366" s="240" t="inlineStr">
        <is>
          <t>Deep Black pearl</t>
        </is>
      </c>
    </row>
    <row r="2367" ht="15" customHeight="1">
      <c r="A2367" s="236" t="n">
        <v>2363</v>
      </c>
      <c r="B2367" s="237" t="inlineStr">
        <is>
          <t>Volkswagen</t>
        </is>
      </c>
      <c r="C2367" s="238" t="inlineStr">
        <is>
          <t>Taigun</t>
        </is>
      </c>
      <c r="D2367" s="239" t="inlineStr">
        <is>
          <t>Taigun GT Line</t>
        </is>
      </c>
      <c r="E2367" s="240" t="inlineStr">
        <is>
          <t>Lava Blue Metallic</t>
        </is>
      </c>
    </row>
    <row r="2368" ht="15" customHeight="1">
      <c r="A2368" s="236" t="n">
        <v>2364</v>
      </c>
      <c r="B2368" s="237" t="inlineStr">
        <is>
          <t>Volkswagen</t>
        </is>
      </c>
      <c r="C2368" s="238" t="inlineStr">
        <is>
          <t>Taigun</t>
        </is>
      </c>
      <c r="D2368" s="239" t="inlineStr">
        <is>
          <t>Taigun GT Line</t>
        </is>
      </c>
      <c r="E2368" s="240" t="inlineStr">
        <is>
          <t>Reflex Silver Metallic</t>
        </is>
      </c>
    </row>
    <row r="2369" ht="15" customHeight="1">
      <c r="A2369" s="236" t="n">
        <v>2365</v>
      </c>
      <c r="B2369" s="237" t="inlineStr">
        <is>
          <t>Volkswagen</t>
        </is>
      </c>
      <c r="C2369" s="238" t="inlineStr">
        <is>
          <t>Taigun</t>
        </is>
      </c>
      <c r="D2369" s="239" t="inlineStr">
        <is>
          <t>Taigun GT Line</t>
        </is>
      </c>
      <c r="E2369" s="240" t="inlineStr">
        <is>
          <t>Steel Grey</t>
        </is>
      </c>
    </row>
    <row r="2370" ht="15" customHeight="1">
      <c r="A2370" s="236" t="n">
        <v>2366</v>
      </c>
      <c r="B2370" s="237" t="inlineStr">
        <is>
          <t>Volkswagen</t>
        </is>
      </c>
      <c r="C2370" s="238" t="inlineStr">
        <is>
          <t>Taigun</t>
        </is>
      </c>
      <c r="D2370" s="239" t="inlineStr">
        <is>
          <t>Taigun GT Line</t>
        </is>
      </c>
      <c r="E2370" s="240" t="inlineStr">
        <is>
          <t>Wild Cherry Red Metallic</t>
        </is>
      </c>
    </row>
    <row r="2371" ht="15" customHeight="1">
      <c r="A2371" s="236" t="n">
        <v>2367</v>
      </c>
      <c r="B2371" s="237" t="inlineStr">
        <is>
          <t>Volkswagen</t>
        </is>
      </c>
      <c r="C2371" s="238" t="inlineStr">
        <is>
          <t>Taigun</t>
        </is>
      </c>
      <c r="D2371" s="239" t="inlineStr">
        <is>
          <t>Taigun GT Plus Chrome</t>
        </is>
      </c>
      <c r="E2371" s="240" t="inlineStr">
        <is>
          <t>Avocado Pearl Effect</t>
        </is>
      </c>
    </row>
    <row r="2372" ht="15" customHeight="1">
      <c r="A2372" s="236" t="n">
        <v>2368</v>
      </c>
      <c r="B2372" s="237" t="inlineStr">
        <is>
          <t>Volkswagen</t>
        </is>
      </c>
      <c r="C2372" s="238" t="inlineStr">
        <is>
          <t>Taigun</t>
        </is>
      </c>
      <c r="D2372" s="239" t="inlineStr">
        <is>
          <t>Taigun GT Plus Chrome</t>
        </is>
      </c>
      <c r="E2372" s="240" t="inlineStr">
        <is>
          <t>Candy White</t>
        </is>
      </c>
    </row>
    <row r="2373" ht="15" customHeight="1">
      <c r="A2373" s="236" t="n">
        <v>2369</v>
      </c>
      <c r="B2373" s="237" t="inlineStr">
        <is>
          <t>Volkswagen</t>
        </is>
      </c>
      <c r="C2373" s="238" t="inlineStr">
        <is>
          <t>Taigun</t>
        </is>
      </c>
      <c r="D2373" s="239" t="inlineStr">
        <is>
          <t>Taigun GT Plus Chrome</t>
        </is>
      </c>
      <c r="E2373" s="240" t="inlineStr">
        <is>
          <t>Carbon Steel Matte</t>
        </is>
      </c>
    </row>
    <row r="2374" ht="15" customHeight="1">
      <c r="A2374" s="236" t="n">
        <v>2370</v>
      </c>
      <c r="B2374" s="237" t="inlineStr">
        <is>
          <t>Volkswagen</t>
        </is>
      </c>
      <c r="C2374" s="238" t="inlineStr">
        <is>
          <t>Taigun</t>
        </is>
      </c>
      <c r="D2374" s="239" t="inlineStr">
        <is>
          <t>Taigun GT Plus Chrome</t>
        </is>
      </c>
      <c r="E2374" s="240" t="inlineStr">
        <is>
          <t>Deep Black pearl</t>
        </is>
      </c>
    </row>
    <row r="2375" ht="15" customHeight="1">
      <c r="A2375" s="236" t="n">
        <v>2371</v>
      </c>
      <c r="B2375" s="237" t="inlineStr">
        <is>
          <t>Volkswagen</t>
        </is>
      </c>
      <c r="C2375" s="238" t="inlineStr">
        <is>
          <t>Taigun</t>
        </is>
      </c>
      <c r="D2375" s="239" t="inlineStr">
        <is>
          <t>Taigun GT Plus Chrome</t>
        </is>
      </c>
      <c r="E2375" s="240" t="inlineStr">
        <is>
          <t>Lava Blue Metallic</t>
        </is>
      </c>
    </row>
    <row r="2376" ht="15" customHeight="1">
      <c r="A2376" s="236" t="n">
        <v>2372</v>
      </c>
      <c r="B2376" s="237" t="inlineStr">
        <is>
          <t>Volkswagen</t>
        </is>
      </c>
      <c r="C2376" s="238" t="inlineStr">
        <is>
          <t>Taigun</t>
        </is>
      </c>
      <c r="D2376" s="239" t="inlineStr">
        <is>
          <t>Taigun GT Plus Chrome</t>
        </is>
      </c>
      <c r="E2376" s="240" t="inlineStr">
        <is>
          <t>Reflex Silver Metallic</t>
        </is>
      </c>
    </row>
    <row r="2377" ht="15" customHeight="1">
      <c r="A2377" s="236" t="n">
        <v>2373</v>
      </c>
      <c r="B2377" s="237" t="inlineStr">
        <is>
          <t>Volkswagen</t>
        </is>
      </c>
      <c r="C2377" s="238" t="inlineStr">
        <is>
          <t>Taigun</t>
        </is>
      </c>
      <c r="D2377" s="239" t="inlineStr">
        <is>
          <t>Taigun GT Plus Chrome</t>
        </is>
      </c>
      <c r="E2377" s="240" t="inlineStr">
        <is>
          <t>Steel Grey</t>
        </is>
      </c>
    </row>
    <row r="2378" ht="15" customHeight="1">
      <c r="A2378" s="236" t="n">
        <v>2374</v>
      </c>
      <c r="B2378" s="237" t="inlineStr">
        <is>
          <t>Volkswagen</t>
        </is>
      </c>
      <c r="C2378" s="238" t="inlineStr">
        <is>
          <t>Taigun</t>
        </is>
      </c>
      <c r="D2378" s="239" t="inlineStr">
        <is>
          <t>Taigun GT Plus Chrome</t>
        </is>
      </c>
      <c r="E2378" s="240" t="inlineStr">
        <is>
          <t>Wild Cherry Red Metallic</t>
        </is>
      </c>
    </row>
    <row r="2379" ht="15" customHeight="1">
      <c r="A2379" s="236" t="n">
        <v>2375</v>
      </c>
      <c r="B2379" s="237" t="inlineStr">
        <is>
          <t>Volkswagen</t>
        </is>
      </c>
      <c r="C2379" s="238" t="inlineStr">
        <is>
          <t>Taigun</t>
        </is>
      </c>
      <c r="D2379" s="239" t="inlineStr">
        <is>
          <t>Taigun GT Plus Sport</t>
        </is>
      </c>
      <c r="E2379" s="240" t="inlineStr">
        <is>
          <t>Avocado Pearl Effect</t>
        </is>
      </c>
    </row>
    <row r="2380" ht="15" customHeight="1">
      <c r="A2380" s="236" t="n">
        <v>2376</v>
      </c>
      <c r="B2380" s="237" t="inlineStr">
        <is>
          <t>Volkswagen</t>
        </is>
      </c>
      <c r="C2380" s="238" t="inlineStr">
        <is>
          <t>Taigun</t>
        </is>
      </c>
      <c r="D2380" s="239" t="inlineStr">
        <is>
          <t>Taigun GT Plus Sport</t>
        </is>
      </c>
      <c r="E2380" s="240" t="inlineStr">
        <is>
          <t>Candy White</t>
        </is>
      </c>
    </row>
    <row r="2381" ht="15" customHeight="1">
      <c r="A2381" s="236" t="n">
        <v>2377</v>
      </c>
      <c r="B2381" s="237" t="inlineStr">
        <is>
          <t>Volkswagen</t>
        </is>
      </c>
      <c r="C2381" s="238" t="inlineStr">
        <is>
          <t>Taigun</t>
        </is>
      </c>
      <c r="D2381" s="239" t="inlineStr">
        <is>
          <t>Taigun GT Plus Sport</t>
        </is>
      </c>
      <c r="E2381" s="240" t="inlineStr">
        <is>
          <t>Carbon Steel Grey Metallic</t>
        </is>
      </c>
    </row>
    <row r="2382" ht="15" customHeight="1">
      <c r="A2382" s="236" t="n">
        <v>2378</v>
      </c>
      <c r="B2382" s="237" t="inlineStr">
        <is>
          <t>Volkswagen</t>
        </is>
      </c>
      <c r="C2382" s="238" t="inlineStr">
        <is>
          <t>Taigun</t>
        </is>
      </c>
      <c r="D2382" s="239" t="inlineStr">
        <is>
          <t>Taigun GT Plus Sport</t>
        </is>
      </c>
      <c r="E2382" s="240" t="inlineStr">
        <is>
          <t>Carbon Steel Matte</t>
        </is>
      </c>
    </row>
    <row r="2383" ht="15" customHeight="1">
      <c r="A2383" s="236" t="n">
        <v>2379</v>
      </c>
      <c r="B2383" s="237" t="inlineStr">
        <is>
          <t>Volkswagen</t>
        </is>
      </c>
      <c r="C2383" s="238" t="inlineStr">
        <is>
          <t>Taigun</t>
        </is>
      </c>
      <c r="D2383" s="239" t="inlineStr">
        <is>
          <t>Taigun GT Plus Sport</t>
        </is>
      </c>
      <c r="E2383" s="240" t="inlineStr">
        <is>
          <t>Deep Black pearl</t>
        </is>
      </c>
    </row>
    <row r="2384" ht="15" customHeight="1">
      <c r="A2384" s="236" t="n">
        <v>2380</v>
      </c>
      <c r="B2384" s="237" t="inlineStr">
        <is>
          <t>Volkswagen</t>
        </is>
      </c>
      <c r="C2384" s="238" t="inlineStr">
        <is>
          <t>Taigun</t>
        </is>
      </c>
      <c r="D2384" s="239" t="inlineStr">
        <is>
          <t>Taigun GT Plus Sport</t>
        </is>
      </c>
      <c r="E2384" s="240" t="inlineStr">
        <is>
          <t>Lava Blue Metallic</t>
        </is>
      </c>
    </row>
    <row r="2385" ht="15" customHeight="1">
      <c r="A2385" s="236" t="n">
        <v>2381</v>
      </c>
      <c r="B2385" s="237" t="inlineStr">
        <is>
          <t>Volkswagen</t>
        </is>
      </c>
      <c r="C2385" s="238" t="inlineStr">
        <is>
          <t>Taigun</t>
        </is>
      </c>
      <c r="D2385" s="239" t="inlineStr">
        <is>
          <t>Taigun GT Plus Sport</t>
        </is>
      </c>
      <c r="E2385" s="240" t="inlineStr">
        <is>
          <t>Reflex Silver Metallic</t>
        </is>
      </c>
    </row>
    <row r="2386" ht="15" customHeight="1">
      <c r="A2386" s="236" t="n">
        <v>2382</v>
      </c>
      <c r="B2386" s="237" t="inlineStr">
        <is>
          <t>Volkswagen</t>
        </is>
      </c>
      <c r="C2386" s="238" t="inlineStr">
        <is>
          <t>Taigun</t>
        </is>
      </c>
      <c r="D2386" s="239" t="inlineStr">
        <is>
          <t>Taigun GT Plus Sport</t>
        </is>
      </c>
      <c r="E2386" s="240" t="inlineStr">
        <is>
          <t>Steel Grey</t>
        </is>
      </c>
    </row>
    <row r="2387" ht="15" customHeight="1">
      <c r="A2387" s="236" t="n">
        <v>2383</v>
      </c>
      <c r="B2387" s="237" t="inlineStr">
        <is>
          <t>Volkswagen</t>
        </is>
      </c>
      <c r="C2387" s="238" t="inlineStr">
        <is>
          <t>Taigun</t>
        </is>
      </c>
      <c r="D2387" s="239" t="inlineStr">
        <is>
          <t>Taigun GT Plus Sport</t>
        </is>
      </c>
      <c r="E2387" s="240" t="inlineStr">
        <is>
          <t>Wild Cherry Red Metallic</t>
        </is>
      </c>
    </row>
    <row r="2388" ht="15" customHeight="1">
      <c r="A2388" s="236" t="n">
        <v>2384</v>
      </c>
      <c r="B2388" s="237" t="inlineStr">
        <is>
          <t>Volkswagen</t>
        </is>
      </c>
      <c r="C2388" s="238" t="inlineStr">
        <is>
          <t>Taigun</t>
        </is>
      </c>
      <c r="D2388" s="239" t="inlineStr">
        <is>
          <t>Taigun Highline</t>
        </is>
      </c>
      <c r="E2388" s="240" t="inlineStr">
        <is>
          <t>Avocado Pearl Effect</t>
        </is>
      </c>
    </row>
    <row r="2389" ht="15" customHeight="1">
      <c r="A2389" s="236" t="n">
        <v>2385</v>
      </c>
      <c r="B2389" s="237" t="inlineStr">
        <is>
          <t>Volkswagen</t>
        </is>
      </c>
      <c r="C2389" s="238" t="inlineStr">
        <is>
          <t>Taigun</t>
        </is>
      </c>
      <c r="D2389" s="239" t="inlineStr">
        <is>
          <t>Taigun Highline</t>
        </is>
      </c>
      <c r="E2389" s="240" t="inlineStr">
        <is>
          <t>Candy White</t>
        </is>
      </c>
    </row>
    <row r="2390" ht="15" customHeight="1">
      <c r="A2390" s="236" t="n">
        <v>2386</v>
      </c>
      <c r="B2390" s="237" t="inlineStr">
        <is>
          <t>Volkswagen</t>
        </is>
      </c>
      <c r="C2390" s="238" t="inlineStr">
        <is>
          <t>Taigun</t>
        </is>
      </c>
      <c r="D2390" s="239" t="inlineStr">
        <is>
          <t>Taigun Highline</t>
        </is>
      </c>
      <c r="E2390" s="240" t="inlineStr">
        <is>
          <t>Carbon Steel Grey Metallic</t>
        </is>
      </c>
    </row>
    <row r="2391" ht="15" customHeight="1">
      <c r="A2391" s="236" t="n">
        <v>2387</v>
      </c>
      <c r="B2391" s="237" t="inlineStr">
        <is>
          <t>Volkswagen</t>
        </is>
      </c>
      <c r="C2391" s="238" t="inlineStr">
        <is>
          <t>Taigun</t>
        </is>
      </c>
      <c r="D2391" s="239" t="inlineStr">
        <is>
          <t>Taigun Highline</t>
        </is>
      </c>
      <c r="E2391" s="240" t="inlineStr">
        <is>
          <t>Lava Blue Metallic</t>
        </is>
      </c>
    </row>
    <row r="2392" ht="15" customHeight="1">
      <c r="A2392" s="236" t="n">
        <v>2388</v>
      </c>
      <c r="B2392" s="237" t="inlineStr">
        <is>
          <t>Volkswagen</t>
        </is>
      </c>
      <c r="C2392" s="238" t="inlineStr">
        <is>
          <t>Taigun</t>
        </is>
      </c>
      <c r="D2392" s="239" t="inlineStr">
        <is>
          <t>Taigun Highline</t>
        </is>
      </c>
      <c r="E2392" s="240" t="inlineStr">
        <is>
          <t>Reflex Silver Metallic</t>
        </is>
      </c>
    </row>
    <row r="2393" ht="15" customHeight="1">
      <c r="A2393" s="236" t="n">
        <v>2389</v>
      </c>
      <c r="B2393" s="237" t="inlineStr">
        <is>
          <t>Volkswagen</t>
        </is>
      </c>
      <c r="C2393" s="238" t="inlineStr">
        <is>
          <t>Taigun</t>
        </is>
      </c>
      <c r="D2393" s="239" t="inlineStr">
        <is>
          <t>Taigun Highline</t>
        </is>
      </c>
      <c r="E2393" s="240" t="inlineStr">
        <is>
          <t>Steel Grey</t>
        </is>
      </c>
    </row>
    <row r="2394" ht="15" customHeight="1">
      <c r="A2394" s="236" t="n">
        <v>2390</v>
      </c>
      <c r="B2394" s="237" t="inlineStr">
        <is>
          <t>Volkswagen</t>
        </is>
      </c>
      <c r="C2394" s="238" t="inlineStr">
        <is>
          <t>Taigun</t>
        </is>
      </c>
      <c r="D2394" s="239" t="inlineStr">
        <is>
          <t>Taigun Highline</t>
        </is>
      </c>
      <c r="E2394" s="240" t="inlineStr">
        <is>
          <t>Wild Cherry Red Metallic</t>
        </is>
      </c>
    </row>
    <row r="2395" ht="15" customHeight="1">
      <c r="A2395" s="236" t="n">
        <v>2391</v>
      </c>
      <c r="B2395" s="237" t="inlineStr">
        <is>
          <t>Volkswagen</t>
        </is>
      </c>
      <c r="C2395" s="238" t="inlineStr">
        <is>
          <t>Taigun</t>
        </is>
      </c>
      <c r="D2395" s="239" t="inlineStr">
        <is>
          <t>Taigun Highline Plus</t>
        </is>
      </c>
      <c r="E2395" s="240" t="inlineStr">
        <is>
          <t>Avocado Pearl Effect</t>
        </is>
      </c>
    </row>
    <row r="2396" ht="15" customHeight="1">
      <c r="A2396" s="236" t="n">
        <v>2392</v>
      </c>
      <c r="B2396" s="237" t="inlineStr">
        <is>
          <t>Volkswagen</t>
        </is>
      </c>
      <c r="C2396" s="238" t="inlineStr">
        <is>
          <t>Taigun</t>
        </is>
      </c>
      <c r="D2396" s="239" t="inlineStr">
        <is>
          <t>Taigun Highline Plus</t>
        </is>
      </c>
      <c r="E2396" s="240" t="inlineStr">
        <is>
          <t>Candy White</t>
        </is>
      </c>
    </row>
    <row r="2397" ht="15" customHeight="1">
      <c r="A2397" s="236" t="n">
        <v>2393</v>
      </c>
      <c r="B2397" s="237" t="inlineStr">
        <is>
          <t>Volkswagen</t>
        </is>
      </c>
      <c r="C2397" s="238" t="inlineStr">
        <is>
          <t>Taigun</t>
        </is>
      </c>
      <c r="D2397" s="239" t="inlineStr">
        <is>
          <t>Taigun Highline Plus</t>
        </is>
      </c>
      <c r="E2397" s="240" t="inlineStr">
        <is>
          <t>Carbon Steel Grey Metallic</t>
        </is>
      </c>
    </row>
    <row r="2398" ht="15" customHeight="1">
      <c r="A2398" s="236" t="n">
        <v>2394</v>
      </c>
      <c r="B2398" s="237" t="inlineStr">
        <is>
          <t>Volkswagen</t>
        </is>
      </c>
      <c r="C2398" s="238" t="inlineStr">
        <is>
          <t>Taigun</t>
        </is>
      </c>
      <c r="D2398" s="239" t="inlineStr">
        <is>
          <t>Taigun Highline Plus</t>
        </is>
      </c>
      <c r="E2398" s="240" t="inlineStr">
        <is>
          <t>Lava Blue Metallic</t>
        </is>
      </c>
    </row>
    <row r="2399" ht="15" customHeight="1">
      <c r="A2399" s="236" t="n">
        <v>2395</v>
      </c>
      <c r="B2399" s="237" t="inlineStr">
        <is>
          <t>Volkswagen</t>
        </is>
      </c>
      <c r="C2399" s="238" t="inlineStr">
        <is>
          <t>Taigun</t>
        </is>
      </c>
      <c r="D2399" s="239" t="inlineStr">
        <is>
          <t>Taigun Highline Plus</t>
        </is>
      </c>
      <c r="E2399" s="240" t="inlineStr">
        <is>
          <t>Reflex Silver Metallic</t>
        </is>
      </c>
    </row>
    <row r="2400" ht="15" customHeight="1">
      <c r="A2400" s="236" t="n">
        <v>2396</v>
      </c>
      <c r="B2400" s="237" t="inlineStr">
        <is>
          <t>Volkswagen</t>
        </is>
      </c>
      <c r="C2400" s="238" t="inlineStr">
        <is>
          <t>Taigun</t>
        </is>
      </c>
      <c r="D2400" s="239" t="inlineStr">
        <is>
          <t>Taigun Highline Plus</t>
        </is>
      </c>
      <c r="E2400" s="240" t="inlineStr">
        <is>
          <t>Steel Grey</t>
        </is>
      </c>
    </row>
    <row r="2401" ht="15" customHeight="1">
      <c r="A2401" s="236" t="n">
        <v>2397</v>
      </c>
      <c r="B2401" s="237" t="inlineStr">
        <is>
          <t>Volkswagen</t>
        </is>
      </c>
      <c r="C2401" s="238" t="inlineStr">
        <is>
          <t>Taigun</t>
        </is>
      </c>
      <c r="D2401" s="239" t="inlineStr">
        <is>
          <t>Taigun Highline Plus</t>
        </is>
      </c>
      <c r="E2401" s="240" t="inlineStr">
        <is>
          <t>Wild Cherry Red Metallic</t>
        </is>
      </c>
    </row>
    <row r="2402" ht="15" customHeight="1">
      <c r="A2402" s="236" t="n">
        <v>2398</v>
      </c>
      <c r="B2402" s="237" t="inlineStr">
        <is>
          <t>Volkswagen</t>
        </is>
      </c>
      <c r="C2402" s="238" t="inlineStr">
        <is>
          <t>Taigun</t>
        </is>
      </c>
      <c r="D2402" s="239" t="inlineStr">
        <is>
          <t>Taigun Topline</t>
        </is>
      </c>
      <c r="E2402" s="240" t="inlineStr">
        <is>
          <t>Avocado Pearl Effect</t>
        </is>
      </c>
    </row>
    <row r="2403" ht="15" customHeight="1">
      <c r="A2403" s="236" t="n">
        <v>2399</v>
      </c>
      <c r="B2403" s="237" t="inlineStr">
        <is>
          <t>Volkswagen</t>
        </is>
      </c>
      <c r="C2403" s="238" t="inlineStr">
        <is>
          <t>Taigun</t>
        </is>
      </c>
      <c r="D2403" s="239" t="inlineStr">
        <is>
          <t>Taigun Topline</t>
        </is>
      </c>
      <c r="E2403" s="240" t="inlineStr">
        <is>
          <t>Candy White</t>
        </is>
      </c>
    </row>
    <row r="2404" ht="15" customHeight="1">
      <c r="A2404" s="236" t="n">
        <v>2400</v>
      </c>
      <c r="B2404" s="237" t="inlineStr">
        <is>
          <t>Volkswagen</t>
        </is>
      </c>
      <c r="C2404" s="238" t="inlineStr">
        <is>
          <t>Taigun</t>
        </is>
      </c>
      <c r="D2404" s="239" t="inlineStr">
        <is>
          <t>Taigun Topline</t>
        </is>
      </c>
      <c r="E2404" s="240" t="inlineStr">
        <is>
          <t>Carbon Steel Grey Metallic</t>
        </is>
      </c>
    </row>
    <row r="2405" ht="15" customHeight="1">
      <c r="A2405" s="236" t="n">
        <v>2401</v>
      </c>
      <c r="B2405" s="237" t="inlineStr">
        <is>
          <t>Volkswagen</t>
        </is>
      </c>
      <c r="C2405" s="238" t="inlineStr">
        <is>
          <t>Taigun</t>
        </is>
      </c>
      <c r="D2405" s="239" t="inlineStr">
        <is>
          <t>Taigun Topline</t>
        </is>
      </c>
      <c r="E2405" s="240" t="inlineStr">
        <is>
          <t>Deep Black pearl</t>
        </is>
      </c>
    </row>
    <row r="2406" ht="15" customHeight="1">
      <c r="A2406" s="236" t="n">
        <v>2402</v>
      </c>
      <c r="B2406" s="237" t="inlineStr">
        <is>
          <t>Volkswagen</t>
        </is>
      </c>
      <c r="C2406" s="238" t="inlineStr">
        <is>
          <t>Taigun</t>
        </is>
      </c>
      <c r="D2406" s="239" t="inlineStr">
        <is>
          <t>Taigun Topline</t>
        </is>
      </c>
      <c r="E2406" s="240" t="inlineStr">
        <is>
          <t>Lava Blue Metallic</t>
        </is>
      </c>
    </row>
    <row r="2407" ht="15" customHeight="1">
      <c r="A2407" s="236" t="n">
        <v>2403</v>
      </c>
      <c r="B2407" s="237" t="inlineStr">
        <is>
          <t>Volkswagen</t>
        </is>
      </c>
      <c r="C2407" s="238" t="inlineStr">
        <is>
          <t>Taigun</t>
        </is>
      </c>
      <c r="D2407" s="239" t="inlineStr">
        <is>
          <t>Taigun Topline</t>
        </is>
      </c>
      <c r="E2407" s="240" t="inlineStr">
        <is>
          <t>Reflex Silver Metallic</t>
        </is>
      </c>
    </row>
    <row r="2408" ht="15" customHeight="1">
      <c r="A2408" s="236" t="n">
        <v>2404</v>
      </c>
      <c r="B2408" s="237" t="inlineStr">
        <is>
          <t>Volkswagen</t>
        </is>
      </c>
      <c r="C2408" s="238" t="inlineStr">
        <is>
          <t>Taigun</t>
        </is>
      </c>
      <c r="D2408" s="239" t="inlineStr">
        <is>
          <t>Taigun Topline</t>
        </is>
      </c>
      <c r="E2408" s="240" t="inlineStr">
        <is>
          <t>Steel Grey</t>
        </is>
      </c>
    </row>
    <row r="2409" ht="15" customHeight="1">
      <c r="A2409" s="236" t="n">
        <v>2405</v>
      </c>
      <c r="B2409" s="237" t="inlineStr">
        <is>
          <t>Volkswagen</t>
        </is>
      </c>
      <c r="C2409" s="238" t="inlineStr">
        <is>
          <t>Taigun</t>
        </is>
      </c>
      <c r="D2409" s="239" t="inlineStr">
        <is>
          <t>Taigun Topline</t>
        </is>
      </c>
      <c r="E2409" s="240" t="inlineStr">
        <is>
          <t>Wild Cherry Red Metallic</t>
        </is>
      </c>
    </row>
    <row r="2410" ht="15" customHeight="1">
      <c r="A2410" s="236" t="n">
        <v>2406</v>
      </c>
      <c r="B2410" s="237" t="inlineStr">
        <is>
          <t>Volkswagen</t>
        </is>
      </c>
      <c r="C2410" s="238" t="inlineStr">
        <is>
          <t>Taigun R-Line</t>
        </is>
      </c>
      <c r="D2410" s="239" t="inlineStr">
        <is>
          <t>Tiguan R-Line 2.0L TSI</t>
        </is>
      </c>
      <c r="E2410" s="240" t="inlineStr">
        <is>
          <t>Cipressino Green Metallic</t>
        </is>
      </c>
    </row>
    <row r="2411" ht="15" customHeight="1">
      <c r="A2411" s="236" t="n">
        <v>2407</v>
      </c>
      <c r="B2411" s="237" t="inlineStr">
        <is>
          <t>Volkswagen</t>
        </is>
      </c>
      <c r="C2411" s="238" t="inlineStr">
        <is>
          <t>Taigun R-Line</t>
        </is>
      </c>
      <c r="D2411" s="239" t="inlineStr">
        <is>
          <t>Tiguan R-Line 2.0L TSI</t>
        </is>
      </c>
      <c r="E2411" s="240" t="inlineStr">
        <is>
          <t>Grenadilla Black Metallic</t>
        </is>
      </c>
    </row>
    <row r="2412" ht="15" customHeight="1">
      <c r="A2412" s="236" t="n">
        <v>2408</v>
      </c>
      <c r="B2412" s="237" t="inlineStr">
        <is>
          <t>Volkswagen</t>
        </is>
      </c>
      <c r="C2412" s="238" t="inlineStr">
        <is>
          <t>Taigun R-Line</t>
        </is>
      </c>
      <c r="D2412" s="239" t="inlineStr">
        <is>
          <t>Tiguan R-Line 2.0L TSI</t>
        </is>
      </c>
      <c r="E2412" s="240" t="inlineStr">
        <is>
          <t>Nightshade Blue Metallic</t>
        </is>
      </c>
    </row>
    <row r="2413" ht="15" customHeight="1">
      <c r="A2413" s="236" t="n">
        <v>2409</v>
      </c>
      <c r="B2413" s="237" t="inlineStr">
        <is>
          <t>Volkswagen</t>
        </is>
      </c>
      <c r="C2413" s="238" t="inlineStr">
        <is>
          <t>Taigun R-Line</t>
        </is>
      </c>
      <c r="D2413" s="239" t="inlineStr">
        <is>
          <t>Tiguan R-Line 2.0L TSI</t>
        </is>
      </c>
      <c r="E2413" s="240" t="inlineStr">
        <is>
          <t>Oryx White Mother of Pearl Effect</t>
        </is>
      </c>
    </row>
    <row r="2414" ht="15" customHeight="1">
      <c r="A2414" s="236" t="n">
        <v>2410</v>
      </c>
      <c r="B2414" s="237" t="inlineStr">
        <is>
          <t>Volkswagen</t>
        </is>
      </c>
      <c r="C2414" s="238" t="inlineStr">
        <is>
          <t>Taigun R-Line</t>
        </is>
      </c>
      <c r="D2414" s="239" t="inlineStr">
        <is>
          <t>Tiguan R-Line 2.0L TSI</t>
        </is>
      </c>
      <c r="E2414" s="240" t="inlineStr">
        <is>
          <t>Persimmon Red Metallic</t>
        </is>
      </c>
    </row>
    <row r="2415" ht="15" customHeight="1">
      <c r="A2415" s="236" t="n">
        <v>2411</v>
      </c>
      <c r="B2415" s="237" t="inlineStr">
        <is>
          <t>Volkswagen</t>
        </is>
      </c>
      <c r="C2415" s="238" t="inlineStr">
        <is>
          <t>Vento</t>
        </is>
      </c>
      <c r="D2415" s="239" t="inlineStr">
        <is>
          <t>Vento Comfortline</t>
        </is>
      </c>
      <c r="E2415" s="240" t="inlineStr">
        <is>
          <t>Candy White</t>
        </is>
      </c>
    </row>
    <row r="2416" ht="15" customHeight="1">
      <c r="A2416" s="236" t="n">
        <v>2412</v>
      </c>
      <c r="B2416" s="237" t="inlineStr">
        <is>
          <t>Volkswagen</t>
        </is>
      </c>
      <c r="C2416" s="238" t="inlineStr">
        <is>
          <t>Vento</t>
        </is>
      </c>
      <c r="D2416" s="239" t="inlineStr">
        <is>
          <t>Vento Comfortline</t>
        </is>
      </c>
      <c r="E2416" s="240" t="inlineStr">
        <is>
          <t>Carbon Steel</t>
        </is>
      </c>
    </row>
    <row r="2417" ht="15" customHeight="1">
      <c r="A2417" s="236" t="n">
        <v>2413</v>
      </c>
      <c r="B2417" s="237" t="inlineStr">
        <is>
          <t>Volkswagen</t>
        </is>
      </c>
      <c r="C2417" s="238" t="inlineStr">
        <is>
          <t>Vento</t>
        </is>
      </c>
      <c r="D2417" s="239" t="inlineStr">
        <is>
          <t>Vento Comfortline</t>
        </is>
      </c>
      <c r="E2417" s="240" t="inlineStr">
        <is>
          <t>Lapiz Blue</t>
        </is>
      </c>
    </row>
    <row r="2418" ht="15" customHeight="1">
      <c r="A2418" s="236" t="n">
        <v>2414</v>
      </c>
      <c r="B2418" s="237" t="inlineStr">
        <is>
          <t>Volkswagen</t>
        </is>
      </c>
      <c r="C2418" s="238" t="inlineStr">
        <is>
          <t>Vento</t>
        </is>
      </c>
      <c r="D2418" s="239" t="inlineStr">
        <is>
          <t>Vento Comfortline</t>
        </is>
      </c>
      <c r="E2418" s="240" t="inlineStr">
        <is>
          <t>Sunset Red</t>
        </is>
      </c>
    </row>
    <row r="2419" ht="15" customHeight="1">
      <c r="A2419" s="236" t="n">
        <v>2415</v>
      </c>
      <c r="B2419" s="237" t="inlineStr">
        <is>
          <t>Volkswagen</t>
        </is>
      </c>
      <c r="C2419" s="238" t="inlineStr">
        <is>
          <t>Vento</t>
        </is>
      </c>
      <c r="D2419" s="239" t="inlineStr">
        <is>
          <t>Vento Comfortline</t>
        </is>
      </c>
      <c r="E2419" s="240" t="inlineStr">
        <is>
          <t>Toffee Brown</t>
        </is>
      </c>
    </row>
    <row r="2420" ht="15" customHeight="1">
      <c r="A2420" s="236" t="n">
        <v>2416</v>
      </c>
      <c r="B2420" s="237" t="inlineStr">
        <is>
          <t>Volkswagen</t>
        </is>
      </c>
      <c r="C2420" s="238" t="inlineStr">
        <is>
          <t>Vento</t>
        </is>
      </c>
      <c r="D2420" s="239" t="inlineStr">
        <is>
          <t>Vento Comfortline Plus</t>
        </is>
      </c>
      <c r="E2420" s="240" t="inlineStr">
        <is>
          <t>Candy White</t>
        </is>
      </c>
    </row>
    <row r="2421" ht="15" customHeight="1">
      <c r="A2421" s="236" t="n">
        <v>2417</v>
      </c>
      <c r="B2421" s="237" t="inlineStr">
        <is>
          <t>Volkswagen</t>
        </is>
      </c>
      <c r="C2421" s="238" t="inlineStr">
        <is>
          <t>Vento</t>
        </is>
      </c>
      <c r="D2421" s="239" t="inlineStr">
        <is>
          <t>Vento Comfortline Plus</t>
        </is>
      </c>
      <c r="E2421" s="240" t="inlineStr">
        <is>
          <t>Carbon Steel</t>
        </is>
      </c>
    </row>
    <row r="2422" ht="15" customHeight="1">
      <c r="A2422" s="236" t="n">
        <v>2418</v>
      </c>
      <c r="B2422" s="237" t="inlineStr">
        <is>
          <t>Volkswagen</t>
        </is>
      </c>
      <c r="C2422" s="238" t="inlineStr">
        <is>
          <t>Vento</t>
        </is>
      </c>
      <c r="D2422" s="239" t="inlineStr">
        <is>
          <t>Vento Comfortline Plus</t>
        </is>
      </c>
      <c r="E2422" s="240" t="inlineStr">
        <is>
          <t>Lapiz Blue</t>
        </is>
      </c>
    </row>
    <row r="2423" ht="15" customHeight="1">
      <c r="A2423" s="236" t="n">
        <v>2419</v>
      </c>
      <c r="B2423" s="237" t="inlineStr">
        <is>
          <t>Volkswagen</t>
        </is>
      </c>
      <c r="C2423" s="238" t="inlineStr">
        <is>
          <t>Vento</t>
        </is>
      </c>
      <c r="D2423" s="239" t="inlineStr">
        <is>
          <t>Vento Comfortline Plus</t>
        </is>
      </c>
      <c r="E2423" s="240" t="inlineStr">
        <is>
          <t>Sunset Red</t>
        </is>
      </c>
    </row>
    <row r="2424" ht="15" customHeight="1">
      <c r="A2424" s="236" t="n">
        <v>2420</v>
      </c>
      <c r="B2424" s="237" t="inlineStr">
        <is>
          <t>Volkswagen</t>
        </is>
      </c>
      <c r="C2424" s="238" t="inlineStr">
        <is>
          <t>Vento</t>
        </is>
      </c>
      <c r="D2424" s="239" t="inlineStr">
        <is>
          <t>Vento Comfortline Plus</t>
        </is>
      </c>
      <c r="E2424" s="240" t="inlineStr">
        <is>
          <t>Toffee Brown</t>
        </is>
      </c>
    </row>
    <row r="2425" ht="15" customHeight="1">
      <c r="A2425" s="236" t="n">
        <v>2421</v>
      </c>
      <c r="B2425" s="237" t="inlineStr">
        <is>
          <t>Volkswagen</t>
        </is>
      </c>
      <c r="C2425" s="238" t="inlineStr">
        <is>
          <t>Vento</t>
        </is>
      </c>
      <c r="D2425" s="239" t="inlineStr">
        <is>
          <t>Vento GT Line</t>
        </is>
      </c>
      <c r="E2425" s="240" t="inlineStr">
        <is>
          <t>Candy White</t>
        </is>
      </c>
    </row>
    <row r="2426" ht="15" customHeight="1">
      <c r="A2426" s="236" t="n">
        <v>2422</v>
      </c>
      <c r="B2426" s="237" t="inlineStr">
        <is>
          <t>Volkswagen</t>
        </is>
      </c>
      <c r="C2426" s="238" t="inlineStr">
        <is>
          <t>Vento</t>
        </is>
      </c>
      <c r="D2426" s="239" t="inlineStr">
        <is>
          <t>Vento GT Line</t>
        </is>
      </c>
      <c r="E2426" s="240" t="inlineStr">
        <is>
          <t>Carbon Steel</t>
        </is>
      </c>
    </row>
    <row r="2427" ht="15" customHeight="1">
      <c r="A2427" s="236" t="n">
        <v>2423</v>
      </c>
      <c r="B2427" s="237" t="inlineStr">
        <is>
          <t>Volkswagen</t>
        </is>
      </c>
      <c r="C2427" s="238" t="inlineStr">
        <is>
          <t>Vento</t>
        </is>
      </c>
      <c r="D2427" s="239" t="inlineStr">
        <is>
          <t>Vento GT Line</t>
        </is>
      </c>
      <c r="E2427" s="240" t="inlineStr">
        <is>
          <t>Lapiz Blue</t>
        </is>
      </c>
    </row>
    <row r="2428" ht="15" customHeight="1">
      <c r="A2428" s="236" t="n">
        <v>2424</v>
      </c>
      <c r="B2428" s="237" t="inlineStr">
        <is>
          <t>Volkswagen</t>
        </is>
      </c>
      <c r="C2428" s="238" t="inlineStr">
        <is>
          <t>Vento</t>
        </is>
      </c>
      <c r="D2428" s="239" t="inlineStr">
        <is>
          <t>Vento GT Line</t>
        </is>
      </c>
      <c r="E2428" s="240" t="inlineStr">
        <is>
          <t>Sunset Red</t>
        </is>
      </c>
    </row>
    <row r="2429" ht="15" customHeight="1">
      <c r="A2429" s="236" t="n">
        <v>2425</v>
      </c>
      <c r="B2429" s="237" t="inlineStr">
        <is>
          <t>Volkswagen</t>
        </is>
      </c>
      <c r="C2429" s="238" t="inlineStr">
        <is>
          <t>Vento</t>
        </is>
      </c>
      <c r="D2429" s="239" t="inlineStr">
        <is>
          <t>Vento GT Line</t>
        </is>
      </c>
      <c r="E2429" s="240" t="inlineStr">
        <is>
          <t>Toffee Brown</t>
        </is>
      </c>
    </row>
    <row r="2430" ht="15" customHeight="1">
      <c r="A2430" s="236" t="n">
        <v>2426</v>
      </c>
      <c r="B2430" s="237" t="inlineStr">
        <is>
          <t>Volkswagen</t>
        </is>
      </c>
      <c r="C2430" s="238" t="inlineStr">
        <is>
          <t>Vento</t>
        </is>
      </c>
      <c r="D2430" s="239" t="inlineStr">
        <is>
          <t>Vento Highline</t>
        </is>
      </c>
      <c r="E2430" s="240" t="inlineStr">
        <is>
          <t>Candy White</t>
        </is>
      </c>
    </row>
    <row r="2431" ht="15" customHeight="1">
      <c r="A2431" s="236" t="n">
        <v>2427</v>
      </c>
      <c r="B2431" s="237" t="inlineStr">
        <is>
          <t>Volkswagen</t>
        </is>
      </c>
      <c r="C2431" s="238" t="inlineStr">
        <is>
          <t>Vento</t>
        </is>
      </c>
      <c r="D2431" s="239" t="inlineStr">
        <is>
          <t>Vento Highline</t>
        </is>
      </c>
      <c r="E2431" s="240" t="inlineStr">
        <is>
          <t>Carbon Steel</t>
        </is>
      </c>
    </row>
    <row r="2432" ht="15" customHeight="1">
      <c r="A2432" s="236" t="n">
        <v>2428</v>
      </c>
      <c r="B2432" s="237" t="inlineStr">
        <is>
          <t>Volkswagen</t>
        </is>
      </c>
      <c r="C2432" s="238" t="inlineStr">
        <is>
          <t>Vento</t>
        </is>
      </c>
      <c r="D2432" s="239" t="inlineStr">
        <is>
          <t>Vento Highline</t>
        </is>
      </c>
      <c r="E2432" s="240" t="inlineStr">
        <is>
          <t>Lapiz Blue</t>
        </is>
      </c>
    </row>
    <row r="2433" ht="15" customHeight="1">
      <c r="A2433" s="236" t="n">
        <v>2429</v>
      </c>
      <c r="B2433" s="237" t="inlineStr">
        <is>
          <t>Volkswagen</t>
        </is>
      </c>
      <c r="C2433" s="238" t="inlineStr">
        <is>
          <t>Vento</t>
        </is>
      </c>
      <c r="D2433" s="239" t="inlineStr">
        <is>
          <t>Vento Highline</t>
        </is>
      </c>
      <c r="E2433" s="240" t="inlineStr">
        <is>
          <t>Sunset Red</t>
        </is>
      </c>
    </row>
    <row r="2434" ht="15" customHeight="1">
      <c r="A2434" s="236" t="n">
        <v>2430</v>
      </c>
      <c r="B2434" s="237" t="inlineStr">
        <is>
          <t>Volkswagen</t>
        </is>
      </c>
      <c r="C2434" s="238" t="inlineStr">
        <is>
          <t>Vento</t>
        </is>
      </c>
      <c r="D2434" s="239" t="inlineStr">
        <is>
          <t>Vento Highline</t>
        </is>
      </c>
      <c r="E2434" s="240" t="inlineStr">
        <is>
          <t>Toffee Brown</t>
        </is>
      </c>
    </row>
    <row r="2435" ht="15" customHeight="1">
      <c r="A2435" s="236" t="n">
        <v>2431</v>
      </c>
      <c r="B2435" s="237" t="inlineStr">
        <is>
          <t>Volkswagen</t>
        </is>
      </c>
      <c r="C2435" s="238" t="inlineStr">
        <is>
          <t>Vento</t>
        </is>
      </c>
      <c r="D2435" s="239" t="inlineStr">
        <is>
          <t>Vento Highline Plus</t>
        </is>
      </c>
      <c r="E2435" s="240" t="inlineStr">
        <is>
          <t>Candy White</t>
        </is>
      </c>
    </row>
    <row r="2436" ht="15" customHeight="1">
      <c r="A2436" s="236" t="n">
        <v>2432</v>
      </c>
      <c r="B2436" s="237" t="inlineStr">
        <is>
          <t>Volkswagen</t>
        </is>
      </c>
      <c r="C2436" s="238" t="inlineStr">
        <is>
          <t>Vento</t>
        </is>
      </c>
      <c r="D2436" s="239" t="inlineStr">
        <is>
          <t>Vento Highline Plus</t>
        </is>
      </c>
      <c r="E2436" s="240" t="inlineStr">
        <is>
          <t>Carbon Steel</t>
        </is>
      </c>
    </row>
    <row r="2437" ht="15" customHeight="1">
      <c r="A2437" s="236" t="n">
        <v>2433</v>
      </c>
      <c r="B2437" s="237" t="inlineStr">
        <is>
          <t>Volkswagen</t>
        </is>
      </c>
      <c r="C2437" s="238" t="inlineStr">
        <is>
          <t>Vento</t>
        </is>
      </c>
      <c r="D2437" s="239" t="inlineStr">
        <is>
          <t>Vento Highline Plus</t>
        </is>
      </c>
      <c r="E2437" s="240" t="inlineStr">
        <is>
          <t>Lapiz Blue</t>
        </is>
      </c>
    </row>
    <row r="2438" ht="15" customHeight="1">
      <c r="A2438" s="236" t="n">
        <v>2434</v>
      </c>
      <c r="B2438" s="237" t="inlineStr">
        <is>
          <t>Volkswagen</t>
        </is>
      </c>
      <c r="C2438" s="238" t="inlineStr">
        <is>
          <t>Vento</t>
        </is>
      </c>
      <c r="D2438" s="239" t="inlineStr">
        <is>
          <t>Vento Highline Plus</t>
        </is>
      </c>
      <c r="E2438" s="240" t="inlineStr">
        <is>
          <t>Sunset Red</t>
        </is>
      </c>
    </row>
    <row r="2439" ht="15" customHeight="1">
      <c r="A2439" s="236" t="n">
        <v>2435</v>
      </c>
      <c r="B2439" s="237" t="inlineStr">
        <is>
          <t>Volkswagen</t>
        </is>
      </c>
      <c r="C2439" s="238" t="inlineStr">
        <is>
          <t>Vento</t>
        </is>
      </c>
      <c r="D2439" s="239" t="inlineStr">
        <is>
          <t>Vento Highline Plus</t>
        </is>
      </c>
      <c r="E2439" s="240" t="inlineStr">
        <is>
          <t>Toffee Brown</t>
        </is>
      </c>
    </row>
    <row r="2440" ht="15" customHeight="1">
      <c r="A2440" s="236" t="n">
        <v>2436</v>
      </c>
      <c r="B2440" s="237" t="inlineStr">
        <is>
          <t>Volkswagen</t>
        </is>
      </c>
      <c r="C2440" s="238" t="inlineStr">
        <is>
          <t>Vento</t>
        </is>
      </c>
      <c r="D2440" s="239" t="inlineStr">
        <is>
          <t>Vento Limited</t>
        </is>
      </c>
      <c r="E2440" s="240" t="inlineStr">
        <is>
          <t>Candy White</t>
        </is>
      </c>
    </row>
    <row r="2441" ht="15" customHeight="1">
      <c r="A2441" s="236" t="n">
        <v>2437</v>
      </c>
      <c r="B2441" s="237" t="inlineStr">
        <is>
          <t>Volkswagen</t>
        </is>
      </c>
      <c r="C2441" s="238" t="inlineStr">
        <is>
          <t>Vento</t>
        </is>
      </c>
      <c r="D2441" s="239" t="inlineStr">
        <is>
          <t>Vento Limited</t>
        </is>
      </c>
      <c r="E2441" s="240" t="inlineStr">
        <is>
          <t>Carbon Steel</t>
        </is>
      </c>
    </row>
    <row r="2442" ht="15" customHeight="1">
      <c r="A2442" s="236" t="n">
        <v>2438</v>
      </c>
      <c r="B2442" s="237" t="inlineStr">
        <is>
          <t>Volkswagen</t>
        </is>
      </c>
      <c r="C2442" s="238" t="inlineStr">
        <is>
          <t>Vento</t>
        </is>
      </c>
      <c r="D2442" s="239" t="inlineStr">
        <is>
          <t>Vento Limited</t>
        </is>
      </c>
      <c r="E2442" s="240" t="inlineStr">
        <is>
          <t>Lapiz Blue</t>
        </is>
      </c>
    </row>
    <row r="2443" ht="15" customHeight="1">
      <c r="A2443" s="236" t="n">
        <v>2439</v>
      </c>
      <c r="B2443" s="237" t="inlineStr">
        <is>
          <t>Volkswagen</t>
        </is>
      </c>
      <c r="C2443" s="238" t="inlineStr">
        <is>
          <t>Vento</t>
        </is>
      </c>
      <c r="D2443" s="239" t="inlineStr">
        <is>
          <t>Vento Limited</t>
        </is>
      </c>
      <c r="E2443" s="240" t="inlineStr">
        <is>
          <t>Sunset Red</t>
        </is>
      </c>
    </row>
    <row r="2444" ht="15" customHeight="1">
      <c r="A2444" s="236" t="n">
        <v>2440</v>
      </c>
      <c r="B2444" s="237" t="inlineStr">
        <is>
          <t>Volkswagen</t>
        </is>
      </c>
      <c r="C2444" s="238" t="inlineStr">
        <is>
          <t>Vento</t>
        </is>
      </c>
      <c r="D2444" s="239" t="inlineStr">
        <is>
          <t>Vento Limited</t>
        </is>
      </c>
      <c r="E2444" s="240" t="inlineStr">
        <is>
          <t>Toffee Brown</t>
        </is>
      </c>
    </row>
    <row r="2445" ht="15" customHeight="1">
      <c r="A2445" s="236" t="n">
        <v>2441</v>
      </c>
      <c r="B2445" s="237" t="inlineStr">
        <is>
          <t>Volkswagen</t>
        </is>
      </c>
      <c r="C2445" s="238" t="inlineStr">
        <is>
          <t>Vento</t>
        </is>
      </c>
      <c r="D2445" s="239" t="inlineStr">
        <is>
          <t>Vento Red and White</t>
        </is>
      </c>
      <c r="E2445" s="240" t="inlineStr">
        <is>
          <t>Candy White</t>
        </is>
      </c>
    </row>
    <row r="2446" ht="15" customHeight="1">
      <c r="A2446" s="236" t="n">
        <v>2442</v>
      </c>
      <c r="B2446" s="237" t="inlineStr">
        <is>
          <t>Volkswagen</t>
        </is>
      </c>
      <c r="C2446" s="238" t="inlineStr">
        <is>
          <t>Vento</t>
        </is>
      </c>
      <c r="D2446" s="239" t="inlineStr">
        <is>
          <t>Vento Red and White</t>
        </is>
      </c>
      <c r="E2446" s="240" t="inlineStr">
        <is>
          <t>Sunset Red</t>
        </is>
      </c>
    </row>
    <row r="2447" ht="15" customHeight="1">
      <c r="A2447" s="236" t="n">
        <v>2443</v>
      </c>
      <c r="B2447" s="237" t="inlineStr">
        <is>
          <t>Volkswagen</t>
        </is>
      </c>
      <c r="C2447" s="238" t="inlineStr">
        <is>
          <t>Vento</t>
        </is>
      </c>
      <c r="D2447" s="239" t="inlineStr">
        <is>
          <t>Vento Trendline</t>
        </is>
      </c>
      <c r="E2447" s="240" t="inlineStr">
        <is>
          <t>Candy White</t>
        </is>
      </c>
    </row>
    <row r="2448" ht="15" customHeight="1">
      <c r="A2448" s="236" t="n">
        <v>2444</v>
      </c>
      <c r="B2448" s="237" t="inlineStr">
        <is>
          <t>Volkswagen</t>
        </is>
      </c>
      <c r="C2448" s="238" t="inlineStr">
        <is>
          <t>Vento</t>
        </is>
      </c>
      <c r="D2448" s="239" t="inlineStr">
        <is>
          <t>Vento Trendline</t>
        </is>
      </c>
      <c r="E2448" s="240" t="inlineStr">
        <is>
          <t>Carbon Steel</t>
        </is>
      </c>
    </row>
    <row r="2449" ht="15" customHeight="1">
      <c r="A2449" s="236" t="n">
        <v>2445</v>
      </c>
      <c r="B2449" s="237" t="inlineStr">
        <is>
          <t>Volkswagen</t>
        </is>
      </c>
      <c r="C2449" s="238" t="inlineStr">
        <is>
          <t>Vento</t>
        </is>
      </c>
      <c r="D2449" s="239" t="inlineStr">
        <is>
          <t>Vento Trendline</t>
        </is>
      </c>
      <c r="E2449" s="240" t="inlineStr">
        <is>
          <t>Lapiz Blue</t>
        </is>
      </c>
    </row>
    <row r="2450" ht="15" customHeight="1">
      <c r="A2450" s="236" t="n">
        <v>2446</v>
      </c>
      <c r="B2450" s="237" t="inlineStr">
        <is>
          <t>Volkswagen</t>
        </is>
      </c>
      <c r="C2450" s="238" t="inlineStr">
        <is>
          <t>Vento</t>
        </is>
      </c>
      <c r="D2450" s="239" t="inlineStr">
        <is>
          <t>Vento Trendline</t>
        </is>
      </c>
      <c r="E2450" s="240" t="inlineStr">
        <is>
          <t>Sunset Red</t>
        </is>
      </c>
    </row>
    <row r="2451" ht="15" customHeight="1">
      <c r="A2451" s="236" t="n">
        <v>2447</v>
      </c>
      <c r="B2451" s="237" t="inlineStr">
        <is>
          <t>Volkswagen</t>
        </is>
      </c>
      <c r="C2451" s="238" t="inlineStr">
        <is>
          <t>Vento</t>
        </is>
      </c>
      <c r="D2451" s="239" t="inlineStr">
        <is>
          <t>Vento Trendline</t>
        </is>
      </c>
      <c r="E2451" s="240" t="inlineStr">
        <is>
          <t>Toffee Brown</t>
        </is>
      </c>
    </row>
    <row r="2452" ht="15" customHeight="1">
      <c r="A2452" s="236" t="n">
        <v>2448</v>
      </c>
      <c r="B2452" s="237" t="inlineStr">
        <is>
          <t>Volkswagen</t>
        </is>
      </c>
      <c r="C2452" s="238" t="inlineStr">
        <is>
          <t>Vento</t>
        </is>
      </c>
      <c r="D2452" s="239" t="inlineStr">
        <is>
          <t>Vento Turbo</t>
        </is>
      </c>
      <c r="E2452" s="240" t="inlineStr">
        <is>
          <t>Candy White</t>
        </is>
      </c>
    </row>
    <row r="2453" ht="15" customHeight="1">
      <c r="A2453" s="236" t="n">
        <v>2449</v>
      </c>
      <c r="B2453" s="237" t="inlineStr">
        <is>
          <t>Volkswagen</t>
        </is>
      </c>
      <c r="C2453" s="238" t="inlineStr">
        <is>
          <t>Vento</t>
        </is>
      </c>
      <c r="D2453" s="239" t="inlineStr">
        <is>
          <t>Vento Turbo</t>
        </is>
      </c>
      <c r="E2453" s="240" t="inlineStr">
        <is>
          <t>Carbon Steel</t>
        </is>
      </c>
    </row>
    <row r="2454" ht="15" customHeight="1">
      <c r="A2454" s="236" t="n">
        <v>2450</v>
      </c>
      <c r="B2454" s="237" t="inlineStr">
        <is>
          <t>Volkswagen</t>
        </is>
      </c>
      <c r="C2454" s="238" t="inlineStr">
        <is>
          <t>Vento</t>
        </is>
      </c>
      <c r="D2454" s="239" t="inlineStr">
        <is>
          <t>Vento Turbo</t>
        </is>
      </c>
      <c r="E2454" s="240" t="inlineStr">
        <is>
          <t>Lapiz Blue</t>
        </is>
      </c>
    </row>
    <row r="2455" ht="15" customHeight="1">
      <c r="A2455" s="236" t="n">
        <v>2451</v>
      </c>
      <c r="B2455" s="237" t="inlineStr">
        <is>
          <t>Volkswagen</t>
        </is>
      </c>
      <c r="C2455" s="238" t="inlineStr">
        <is>
          <t>Vento</t>
        </is>
      </c>
      <c r="D2455" s="239" t="inlineStr">
        <is>
          <t>Vento Turbo</t>
        </is>
      </c>
      <c r="E2455" s="240" t="inlineStr">
        <is>
          <t>Sunset Red</t>
        </is>
      </c>
    </row>
    <row r="2456" ht="15" customHeight="1">
      <c r="A2456" s="236" t="n">
        <v>2452</v>
      </c>
      <c r="B2456" s="237" t="inlineStr">
        <is>
          <t>Volkswagen</t>
        </is>
      </c>
      <c r="C2456" s="238" t="inlineStr">
        <is>
          <t>Vento</t>
        </is>
      </c>
      <c r="D2456" s="239" t="inlineStr">
        <is>
          <t>Vento Turbo</t>
        </is>
      </c>
      <c r="E2456" s="240" t="inlineStr">
        <is>
          <t>Toffee Brown</t>
        </is>
      </c>
    </row>
    <row r="2457" ht="15" customHeight="1">
      <c r="A2457" s="236" t="n">
        <v>2453</v>
      </c>
      <c r="B2457" s="237" t="inlineStr">
        <is>
          <t>Volkswagen</t>
        </is>
      </c>
      <c r="C2457" s="238" t="inlineStr">
        <is>
          <t>Virtus</t>
        </is>
      </c>
      <c r="D2457" s="239" t="inlineStr">
        <is>
          <t>Virtus Comfortline</t>
        </is>
      </c>
      <c r="E2457" s="240" t="inlineStr">
        <is>
          <t>Candy White</t>
        </is>
      </c>
    </row>
    <row r="2458" ht="15" customHeight="1">
      <c r="A2458" s="236" t="n">
        <v>2454</v>
      </c>
      <c r="B2458" s="237" t="inlineStr">
        <is>
          <t>Volkswagen</t>
        </is>
      </c>
      <c r="C2458" s="238" t="inlineStr">
        <is>
          <t>Virtus</t>
        </is>
      </c>
      <c r="D2458" s="239" t="inlineStr">
        <is>
          <t>Virtus Comfortline</t>
        </is>
      </c>
      <c r="E2458" s="240" t="inlineStr">
        <is>
          <t>Carbon Steel Matte Grey</t>
        </is>
      </c>
    </row>
    <row r="2459" ht="15" customHeight="1">
      <c r="A2459" s="236" t="n">
        <v>2455</v>
      </c>
      <c r="B2459" s="237" t="inlineStr">
        <is>
          <t>Volkswagen</t>
        </is>
      </c>
      <c r="C2459" s="238" t="inlineStr">
        <is>
          <t>Virtus</t>
        </is>
      </c>
      <c r="D2459" s="239" t="inlineStr">
        <is>
          <t>Virtus Comfortline</t>
        </is>
      </c>
      <c r="E2459" s="240" t="inlineStr">
        <is>
          <t>Lava Blue</t>
        </is>
      </c>
    </row>
    <row r="2460" ht="15" customHeight="1">
      <c r="A2460" s="236" t="n">
        <v>2456</v>
      </c>
      <c r="B2460" s="237" t="inlineStr">
        <is>
          <t>Volkswagen</t>
        </is>
      </c>
      <c r="C2460" s="238" t="inlineStr">
        <is>
          <t>Virtus</t>
        </is>
      </c>
      <c r="D2460" s="239" t="inlineStr">
        <is>
          <t>Virtus Comfortline</t>
        </is>
      </c>
      <c r="E2460" s="240" t="inlineStr">
        <is>
          <t>Reflex Silver</t>
        </is>
      </c>
    </row>
    <row r="2461" ht="15" customHeight="1">
      <c r="A2461" s="236" t="n">
        <v>2457</v>
      </c>
      <c r="B2461" s="237" t="inlineStr">
        <is>
          <t>Volkswagen</t>
        </is>
      </c>
      <c r="C2461" s="238" t="inlineStr">
        <is>
          <t>Virtus</t>
        </is>
      </c>
      <c r="D2461" s="239" t="inlineStr">
        <is>
          <t>Virtus Comfortline</t>
        </is>
      </c>
      <c r="E2461" s="240" t="inlineStr">
        <is>
          <t>Rising Blue Metallic</t>
        </is>
      </c>
    </row>
    <row r="2462" ht="15" customHeight="1">
      <c r="A2462" s="236" t="n">
        <v>2458</v>
      </c>
      <c r="B2462" s="237" t="inlineStr">
        <is>
          <t>Volkswagen</t>
        </is>
      </c>
      <c r="C2462" s="238" t="inlineStr">
        <is>
          <t>Virtus</t>
        </is>
      </c>
      <c r="D2462" s="239" t="inlineStr">
        <is>
          <t>Virtus Comfortline</t>
        </is>
      </c>
      <c r="E2462" s="240" t="inlineStr">
        <is>
          <t>Wild Cherry Red</t>
        </is>
      </c>
    </row>
    <row r="2463" ht="15" customHeight="1">
      <c r="A2463" s="236" t="n">
        <v>2459</v>
      </c>
      <c r="B2463" s="237" t="inlineStr">
        <is>
          <t>Volkswagen</t>
        </is>
      </c>
      <c r="C2463" s="238" t="inlineStr">
        <is>
          <t>Virtus</t>
        </is>
      </c>
      <c r="D2463" s="239" t="inlineStr">
        <is>
          <t>Virtus GT</t>
        </is>
      </c>
      <c r="E2463" s="240" t="inlineStr">
        <is>
          <t>Candy White</t>
        </is>
      </c>
    </row>
    <row r="2464" ht="15" customHeight="1">
      <c r="A2464" s="236" t="n">
        <v>2460</v>
      </c>
      <c r="B2464" s="237" t="inlineStr">
        <is>
          <t>Volkswagen</t>
        </is>
      </c>
      <c r="C2464" s="238" t="inlineStr">
        <is>
          <t>Virtus</t>
        </is>
      </c>
      <c r="D2464" s="239" t="inlineStr">
        <is>
          <t>Virtus GT</t>
        </is>
      </c>
      <c r="E2464" s="240" t="inlineStr">
        <is>
          <t>Carbon Steel Matte Grey</t>
        </is>
      </c>
    </row>
    <row r="2465" ht="15" customHeight="1">
      <c r="A2465" s="236" t="n">
        <v>2461</v>
      </c>
      <c r="B2465" s="237" t="inlineStr">
        <is>
          <t>Volkswagen</t>
        </is>
      </c>
      <c r="C2465" s="238" t="inlineStr">
        <is>
          <t>Virtus</t>
        </is>
      </c>
      <c r="D2465" s="239" t="inlineStr">
        <is>
          <t>Virtus GT</t>
        </is>
      </c>
      <c r="E2465" s="240" t="inlineStr">
        <is>
          <t>Deep Black pearl</t>
        </is>
      </c>
    </row>
    <row r="2466" ht="15" customHeight="1">
      <c r="A2466" s="236" t="n">
        <v>2462</v>
      </c>
      <c r="B2466" s="237" t="inlineStr">
        <is>
          <t>Volkswagen</t>
        </is>
      </c>
      <c r="C2466" s="238" t="inlineStr">
        <is>
          <t>Virtus</t>
        </is>
      </c>
      <c r="D2466" s="239" t="inlineStr">
        <is>
          <t>Virtus GT</t>
        </is>
      </c>
      <c r="E2466" s="240" t="inlineStr">
        <is>
          <t>Lava Blue</t>
        </is>
      </c>
    </row>
    <row r="2467" ht="15" customHeight="1">
      <c r="A2467" s="236" t="n">
        <v>2463</v>
      </c>
      <c r="B2467" s="237" t="inlineStr">
        <is>
          <t>Volkswagen</t>
        </is>
      </c>
      <c r="C2467" s="238" t="inlineStr">
        <is>
          <t>Virtus</t>
        </is>
      </c>
      <c r="D2467" s="239" t="inlineStr">
        <is>
          <t>Virtus GT</t>
        </is>
      </c>
      <c r="E2467" s="240" t="inlineStr">
        <is>
          <t>Reflex Silver</t>
        </is>
      </c>
    </row>
    <row r="2468" ht="15" customHeight="1">
      <c r="A2468" s="236" t="n">
        <v>2464</v>
      </c>
      <c r="B2468" s="237" t="inlineStr">
        <is>
          <t>Volkswagen</t>
        </is>
      </c>
      <c r="C2468" s="238" t="inlineStr">
        <is>
          <t>Virtus</t>
        </is>
      </c>
      <c r="D2468" s="239" t="inlineStr">
        <is>
          <t>Virtus GT</t>
        </is>
      </c>
      <c r="E2468" s="240" t="inlineStr">
        <is>
          <t>Rising Blue Metallic</t>
        </is>
      </c>
    </row>
    <row r="2469" ht="15" customHeight="1">
      <c r="A2469" s="236" t="n">
        <v>2465</v>
      </c>
      <c r="B2469" s="237" t="inlineStr">
        <is>
          <t>Volkswagen</t>
        </is>
      </c>
      <c r="C2469" s="238" t="inlineStr">
        <is>
          <t>Virtus</t>
        </is>
      </c>
      <c r="D2469" s="239" t="inlineStr">
        <is>
          <t>Virtus GT</t>
        </is>
      </c>
      <c r="E2469" s="240" t="inlineStr">
        <is>
          <t>Wild Cherry Red</t>
        </is>
      </c>
    </row>
    <row r="2470" ht="15" customHeight="1">
      <c r="A2470" s="236" t="n">
        <v>2466</v>
      </c>
      <c r="B2470" s="237" t="inlineStr">
        <is>
          <t>Volkswagen</t>
        </is>
      </c>
      <c r="C2470" s="238" t="inlineStr">
        <is>
          <t>Virtus</t>
        </is>
      </c>
      <c r="D2470" s="239" t="inlineStr">
        <is>
          <t>Virtus GT Line</t>
        </is>
      </c>
      <c r="E2470" s="240" t="inlineStr">
        <is>
          <t>Candy White</t>
        </is>
      </c>
    </row>
    <row r="2471" ht="15" customHeight="1">
      <c r="A2471" s="236" t="n">
        <v>2467</v>
      </c>
      <c r="B2471" s="237" t="inlineStr">
        <is>
          <t>Volkswagen</t>
        </is>
      </c>
      <c r="C2471" s="238" t="inlineStr">
        <is>
          <t>Virtus</t>
        </is>
      </c>
      <c r="D2471" s="239" t="inlineStr">
        <is>
          <t>Virtus GT Line</t>
        </is>
      </c>
      <c r="E2471" s="240" t="inlineStr">
        <is>
          <t>Carbon Steel Matte Grey</t>
        </is>
      </c>
    </row>
    <row r="2472" ht="15" customHeight="1">
      <c r="A2472" s="236" t="n">
        <v>2468</v>
      </c>
      <c r="B2472" s="237" t="inlineStr">
        <is>
          <t>Volkswagen</t>
        </is>
      </c>
      <c r="C2472" s="238" t="inlineStr">
        <is>
          <t>Virtus</t>
        </is>
      </c>
      <c r="D2472" s="239" t="inlineStr">
        <is>
          <t>Virtus GT Line</t>
        </is>
      </c>
      <c r="E2472" s="240" t="inlineStr">
        <is>
          <t>Deep Black pearl</t>
        </is>
      </c>
    </row>
    <row r="2473" ht="15" customHeight="1">
      <c r="A2473" s="236" t="n">
        <v>2469</v>
      </c>
      <c r="B2473" s="237" t="inlineStr">
        <is>
          <t>Volkswagen</t>
        </is>
      </c>
      <c r="C2473" s="238" t="inlineStr">
        <is>
          <t>Virtus</t>
        </is>
      </c>
      <c r="D2473" s="239" t="inlineStr">
        <is>
          <t>Virtus GT Line</t>
        </is>
      </c>
      <c r="E2473" s="240" t="inlineStr">
        <is>
          <t>Lava Blue</t>
        </is>
      </c>
    </row>
    <row r="2474" ht="15" customHeight="1">
      <c r="A2474" s="236" t="n">
        <v>2470</v>
      </c>
      <c r="B2474" s="237" t="inlineStr">
        <is>
          <t>Volkswagen</t>
        </is>
      </c>
      <c r="C2474" s="238" t="inlineStr">
        <is>
          <t>Virtus</t>
        </is>
      </c>
      <c r="D2474" s="239" t="inlineStr">
        <is>
          <t>Virtus GT Line</t>
        </is>
      </c>
      <c r="E2474" s="240" t="inlineStr">
        <is>
          <t>Reflex Silver</t>
        </is>
      </c>
    </row>
    <row r="2475" ht="15" customHeight="1">
      <c r="A2475" s="236" t="n">
        <v>2471</v>
      </c>
      <c r="B2475" s="237" t="inlineStr">
        <is>
          <t>Volkswagen</t>
        </is>
      </c>
      <c r="C2475" s="238" t="inlineStr">
        <is>
          <t>Virtus</t>
        </is>
      </c>
      <c r="D2475" s="239" t="inlineStr">
        <is>
          <t>Virtus GT Line</t>
        </is>
      </c>
      <c r="E2475" s="240" t="inlineStr">
        <is>
          <t>Rising Blue Metallic</t>
        </is>
      </c>
    </row>
    <row r="2476" ht="15" customHeight="1">
      <c r="A2476" s="236" t="n">
        <v>2472</v>
      </c>
      <c r="B2476" s="237" t="inlineStr">
        <is>
          <t>Volkswagen</t>
        </is>
      </c>
      <c r="C2476" s="238" t="inlineStr">
        <is>
          <t>Virtus</t>
        </is>
      </c>
      <c r="D2476" s="239" t="inlineStr">
        <is>
          <t>Virtus GT Line</t>
        </is>
      </c>
      <c r="E2476" s="240" t="inlineStr">
        <is>
          <t>Wild Cherry Red</t>
        </is>
      </c>
    </row>
    <row r="2477" ht="15" customHeight="1">
      <c r="A2477" s="236" t="n">
        <v>2473</v>
      </c>
      <c r="B2477" s="237" t="inlineStr">
        <is>
          <t>Volkswagen</t>
        </is>
      </c>
      <c r="C2477" s="238" t="inlineStr">
        <is>
          <t>Virtus</t>
        </is>
      </c>
      <c r="D2477" s="239" t="inlineStr">
        <is>
          <t>Virtus GT Plus</t>
        </is>
      </c>
      <c r="E2477" s="240" t="inlineStr">
        <is>
          <t>Candy White</t>
        </is>
      </c>
    </row>
    <row r="2478" ht="15" customHeight="1">
      <c r="A2478" s="236" t="n">
        <v>2474</v>
      </c>
      <c r="B2478" s="237" t="inlineStr">
        <is>
          <t>Volkswagen</t>
        </is>
      </c>
      <c r="C2478" s="238" t="inlineStr">
        <is>
          <t>Virtus</t>
        </is>
      </c>
      <c r="D2478" s="239" t="inlineStr">
        <is>
          <t>Virtus GT Plus</t>
        </is>
      </c>
      <c r="E2478" s="240" t="inlineStr">
        <is>
          <t>Carbon Steel Matte Grey</t>
        </is>
      </c>
    </row>
    <row r="2479" ht="15" customHeight="1">
      <c r="A2479" s="236" t="n">
        <v>2475</v>
      </c>
      <c r="B2479" s="237" t="inlineStr">
        <is>
          <t>Volkswagen</t>
        </is>
      </c>
      <c r="C2479" s="238" t="inlineStr">
        <is>
          <t>Virtus</t>
        </is>
      </c>
      <c r="D2479" s="239" t="inlineStr">
        <is>
          <t>Virtus GT Plus</t>
        </is>
      </c>
      <c r="E2479" s="240" t="inlineStr">
        <is>
          <t>Deep Black pearl</t>
        </is>
      </c>
    </row>
    <row r="2480" ht="15" customHeight="1">
      <c r="A2480" s="236" t="n">
        <v>2476</v>
      </c>
      <c r="B2480" s="237" t="inlineStr">
        <is>
          <t>Volkswagen</t>
        </is>
      </c>
      <c r="C2480" s="238" t="inlineStr">
        <is>
          <t>Virtus</t>
        </is>
      </c>
      <c r="D2480" s="239" t="inlineStr">
        <is>
          <t>Virtus GT Plus</t>
        </is>
      </c>
      <c r="E2480" s="240" t="inlineStr">
        <is>
          <t>Lava Blue</t>
        </is>
      </c>
    </row>
    <row r="2481" ht="15" customHeight="1">
      <c r="A2481" s="236" t="n">
        <v>2477</v>
      </c>
      <c r="B2481" s="237" t="inlineStr">
        <is>
          <t>Volkswagen</t>
        </is>
      </c>
      <c r="C2481" s="238" t="inlineStr">
        <is>
          <t>Virtus</t>
        </is>
      </c>
      <c r="D2481" s="239" t="inlineStr">
        <is>
          <t>Virtus GT Plus</t>
        </is>
      </c>
      <c r="E2481" s="240" t="inlineStr">
        <is>
          <t>Reflex Silver</t>
        </is>
      </c>
    </row>
    <row r="2482" ht="15" customHeight="1">
      <c r="A2482" s="236" t="n">
        <v>2478</v>
      </c>
      <c r="B2482" s="237" t="inlineStr">
        <is>
          <t>Volkswagen</t>
        </is>
      </c>
      <c r="C2482" s="238" t="inlineStr">
        <is>
          <t>Virtus</t>
        </is>
      </c>
      <c r="D2482" s="239" t="inlineStr">
        <is>
          <t>Virtus GT Plus</t>
        </is>
      </c>
      <c r="E2482" s="240" t="inlineStr">
        <is>
          <t>Rising Blue Metallic</t>
        </is>
      </c>
    </row>
    <row r="2483" ht="15" customHeight="1">
      <c r="A2483" s="236" t="n">
        <v>2479</v>
      </c>
      <c r="B2483" s="237" t="inlineStr">
        <is>
          <t>Volkswagen</t>
        </is>
      </c>
      <c r="C2483" s="238" t="inlineStr">
        <is>
          <t>Virtus</t>
        </is>
      </c>
      <c r="D2483" s="239" t="inlineStr">
        <is>
          <t>Virtus GT Plus</t>
        </is>
      </c>
      <c r="E2483" s="240" t="inlineStr">
        <is>
          <t>Wild Cherry Red</t>
        </is>
      </c>
    </row>
    <row r="2484" ht="15" customHeight="1">
      <c r="A2484" s="236" t="n">
        <v>2480</v>
      </c>
      <c r="B2484" s="237" t="inlineStr">
        <is>
          <t>Volkswagen</t>
        </is>
      </c>
      <c r="C2484" s="238" t="inlineStr">
        <is>
          <t>Virtus</t>
        </is>
      </c>
      <c r="D2484" s="239" t="inlineStr">
        <is>
          <t>Virtus Highline</t>
        </is>
      </c>
      <c r="E2484" s="240" t="inlineStr">
        <is>
          <t>Candy White</t>
        </is>
      </c>
    </row>
    <row r="2485" ht="15" customHeight="1">
      <c r="A2485" s="236" t="n">
        <v>2481</v>
      </c>
      <c r="B2485" s="237" t="inlineStr">
        <is>
          <t>Volkswagen</t>
        </is>
      </c>
      <c r="C2485" s="238" t="inlineStr">
        <is>
          <t>Virtus</t>
        </is>
      </c>
      <c r="D2485" s="239" t="inlineStr">
        <is>
          <t>Virtus Highline</t>
        </is>
      </c>
      <c r="E2485" s="240" t="inlineStr">
        <is>
          <t>Carbon Steel Matte Grey</t>
        </is>
      </c>
    </row>
    <row r="2486" ht="15" customHeight="1">
      <c r="A2486" s="236" t="n">
        <v>2482</v>
      </c>
      <c r="B2486" s="237" t="inlineStr">
        <is>
          <t>Volkswagen</t>
        </is>
      </c>
      <c r="C2486" s="238" t="inlineStr">
        <is>
          <t>Virtus</t>
        </is>
      </c>
      <c r="D2486" s="239" t="inlineStr">
        <is>
          <t>Virtus Highline</t>
        </is>
      </c>
      <c r="E2486" s="240" t="inlineStr">
        <is>
          <t>Lava Blue</t>
        </is>
      </c>
    </row>
    <row r="2487" ht="15" customHeight="1">
      <c r="A2487" s="236" t="n">
        <v>2483</v>
      </c>
      <c r="B2487" s="237" t="inlineStr">
        <is>
          <t>Volkswagen</t>
        </is>
      </c>
      <c r="C2487" s="238" t="inlineStr">
        <is>
          <t>Virtus</t>
        </is>
      </c>
      <c r="D2487" s="239" t="inlineStr">
        <is>
          <t>Virtus Highline</t>
        </is>
      </c>
      <c r="E2487" s="240" t="inlineStr">
        <is>
          <t>Reflex Silver</t>
        </is>
      </c>
    </row>
    <row r="2488" ht="15" customHeight="1">
      <c r="A2488" s="236" t="n">
        <v>2484</v>
      </c>
      <c r="B2488" s="237" t="inlineStr">
        <is>
          <t>Volkswagen</t>
        </is>
      </c>
      <c r="C2488" s="238" t="inlineStr">
        <is>
          <t>Virtus</t>
        </is>
      </c>
      <c r="D2488" s="239" t="inlineStr">
        <is>
          <t>Virtus Highline</t>
        </is>
      </c>
      <c r="E2488" s="240" t="inlineStr">
        <is>
          <t>Rising Blue Metallic</t>
        </is>
      </c>
    </row>
    <row r="2489" ht="15" customHeight="1">
      <c r="A2489" s="236" t="n">
        <v>2485</v>
      </c>
      <c r="B2489" s="237" t="inlineStr">
        <is>
          <t>Volkswagen</t>
        </is>
      </c>
      <c r="C2489" s="238" t="inlineStr">
        <is>
          <t>Virtus</t>
        </is>
      </c>
      <c r="D2489" s="239" t="inlineStr">
        <is>
          <t>Virtus Highline</t>
        </is>
      </c>
      <c r="E2489" s="240" t="inlineStr">
        <is>
          <t>Wild Cherry Red</t>
        </is>
      </c>
    </row>
    <row r="2490" ht="15" customHeight="1">
      <c r="A2490" s="236" t="n">
        <v>2486</v>
      </c>
      <c r="B2490" s="237" t="inlineStr">
        <is>
          <t>Volkswagen</t>
        </is>
      </c>
      <c r="C2490" s="238" t="inlineStr">
        <is>
          <t>Virtus</t>
        </is>
      </c>
      <c r="D2490" s="239" t="inlineStr">
        <is>
          <t>Virtus Highline Plus</t>
        </is>
      </c>
      <c r="E2490" s="240" t="inlineStr">
        <is>
          <t>Candy White</t>
        </is>
      </c>
    </row>
    <row r="2491" ht="15" customHeight="1">
      <c r="A2491" s="236" t="n">
        <v>2487</v>
      </c>
      <c r="B2491" s="237" t="inlineStr">
        <is>
          <t>Volkswagen</t>
        </is>
      </c>
      <c r="C2491" s="238" t="inlineStr">
        <is>
          <t>Virtus</t>
        </is>
      </c>
      <c r="D2491" s="239" t="inlineStr">
        <is>
          <t>Virtus Highline Plus</t>
        </is>
      </c>
      <c r="E2491" s="240" t="inlineStr">
        <is>
          <t>Carbon Steel Matte Grey</t>
        </is>
      </c>
    </row>
    <row r="2492" ht="15" customHeight="1">
      <c r="A2492" s="236" t="n">
        <v>2488</v>
      </c>
      <c r="B2492" s="237" t="inlineStr">
        <is>
          <t>Volkswagen</t>
        </is>
      </c>
      <c r="C2492" s="238" t="inlineStr">
        <is>
          <t>Virtus</t>
        </is>
      </c>
      <c r="D2492" s="239" t="inlineStr">
        <is>
          <t>Virtus Highline Plus</t>
        </is>
      </c>
      <c r="E2492" s="240" t="inlineStr">
        <is>
          <t>Lava Blue</t>
        </is>
      </c>
    </row>
    <row r="2493" ht="15" customHeight="1">
      <c r="A2493" s="236" t="n">
        <v>2489</v>
      </c>
      <c r="B2493" s="237" t="inlineStr">
        <is>
          <t>Volkswagen</t>
        </is>
      </c>
      <c r="C2493" s="238" t="inlineStr">
        <is>
          <t>Virtus</t>
        </is>
      </c>
      <c r="D2493" s="239" t="inlineStr">
        <is>
          <t>Virtus Highline Plus</t>
        </is>
      </c>
      <c r="E2493" s="240" t="inlineStr">
        <is>
          <t>Reflex Silver</t>
        </is>
      </c>
    </row>
    <row r="2494" ht="15" customHeight="1">
      <c r="A2494" s="236" t="n">
        <v>2490</v>
      </c>
      <c r="B2494" s="237" t="inlineStr">
        <is>
          <t>Volkswagen</t>
        </is>
      </c>
      <c r="C2494" s="238" t="inlineStr">
        <is>
          <t>Virtus</t>
        </is>
      </c>
      <c r="D2494" s="239" t="inlineStr">
        <is>
          <t>Virtus Highline Plus</t>
        </is>
      </c>
      <c r="E2494" s="240" t="inlineStr">
        <is>
          <t>Rising Blue Metallic</t>
        </is>
      </c>
    </row>
    <row r="2495" ht="15" customHeight="1">
      <c r="A2495" s="236" t="n">
        <v>2491</v>
      </c>
      <c r="B2495" s="237" t="inlineStr">
        <is>
          <t>Volkswagen</t>
        </is>
      </c>
      <c r="C2495" s="238" t="inlineStr">
        <is>
          <t>Virtus</t>
        </is>
      </c>
      <c r="D2495" s="239" t="inlineStr">
        <is>
          <t>Virtus Highline Plus</t>
        </is>
      </c>
      <c r="E2495" s="240" t="inlineStr">
        <is>
          <t>Wild Cherry Red</t>
        </is>
      </c>
    </row>
    <row r="2496" ht="15" customHeight="1">
      <c r="A2496" s="236" t="n">
        <v>2492</v>
      </c>
      <c r="B2496" s="237" t="inlineStr">
        <is>
          <t>Volkswagen</t>
        </is>
      </c>
      <c r="C2496" s="238" t="inlineStr">
        <is>
          <t>Virtus</t>
        </is>
      </c>
      <c r="D2496" s="239" t="inlineStr">
        <is>
          <t>Virtus Topline</t>
        </is>
      </c>
      <c r="E2496" s="240" t="inlineStr">
        <is>
          <t>Candy White</t>
        </is>
      </c>
    </row>
    <row r="2497" ht="15" customHeight="1">
      <c r="A2497" s="236" t="n">
        <v>2493</v>
      </c>
      <c r="B2497" s="237" t="inlineStr">
        <is>
          <t>Volkswagen</t>
        </is>
      </c>
      <c r="C2497" s="238" t="inlineStr">
        <is>
          <t>Virtus</t>
        </is>
      </c>
      <c r="D2497" s="239" t="inlineStr">
        <is>
          <t>Virtus Topline</t>
        </is>
      </c>
      <c r="E2497" s="240" t="inlineStr">
        <is>
          <t>Carbon Steel Matte Grey</t>
        </is>
      </c>
    </row>
    <row r="2498" ht="15" customHeight="1">
      <c r="A2498" s="236" t="n">
        <v>2494</v>
      </c>
      <c r="B2498" s="237" t="inlineStr">
        <is>
          <t>Volkswagen</t>
        </is>
      </c>
      <c r="C2498" s="238" t="inlineStr">
        <is>
          <t>Virtus</t>
        </is>
      </c>
      <c r="D2498" s="239" t="inlineStr">
        <is>
          <t>Virtus Topline</t>
        </is>
      </c>
      <c r="E2498" s="240" t="inlineStr">
        <is>
          <t>Deep Black pearl</t>
        </is>
      </c>
    </row>
    <row r="2499" ht="15" customHeight="1">
      <c r="A2499" s="236" t="n">
        <v>2495</v>
      </c>
      <c r="B2499" s="237" t="inlineStr">
        <is>
          <t>Volkswagen</t>
        </is>
      </c>
      <c r="C2499" s="238" t="inlineStr">
        <is>
          <t>Virtus</t>
        </is>
      </c>
      <c r="D2499" s="239" t="inlineStr">
        <is>
          <t>Virtus Topline</t>
        </is>
      </c>
      <c r="E2499" s="240" t="inlineStr">
        <is>
          <t>Lava Blue</t>
        </is>
      </c>
    </row>
    <row r="2500" ht="15" customHeight="1">
      <c r="A2500" s="236" t="n">
        <v>2496</v>
      </c>
      <c r="B2500" s="237" t="inlineStr">
        <is>
          <t>Volkswagen</t>
        </is>
      </c>
      <c r="C2500" s="238" t="inlineStr">
        <is>
          <t>Virtus</t>
        </is>
      </c>
      <c r="D2500" s="239" t="inlineStr">
        <is>
          <t>Virtus Topline</t>
        </is>
      </c>
      <c r="E2500" s="240" t="inlineStr">
        <is>
          <t>Reflex Silver</t>
        </is>
      </c>
    </row>
    <row r="2501" ht="15" customHeight="1">
      <c r="A2501" s="236" t="n">
        <v>2497</v>
      </c>
      <c r="B2501" s="237" t="inlineStr">
        <is>
          <t>Volkswagen</t>
        </is>
      </c>
      <c r="C2501" s="238" t="inlineStr">
        <is>
          <t>Virtus</t>
        </is>
      </c>
      <c r="D2501" s="239" t="inlineStr">
        <is>
          <t>Virtus Topline</t>
        </is>
      </c>
      <c r="E2501" s="240" t="inlineStr">
        <is>
          <t>Rising Blue Metallic</t>
        </is>
      </c>
    </row>
    <row r="2502" ht="15" customHeight="1">
      <c r="A2502" s="236" t="n">
        <v>2498</v>
      </c>
      <c r="B2502" s="237" t="inlineStr">
        <is>
          <t>Volkswagen</t>
        </is>
      </c>
      <c r="C2502" s="238" t="inlineStr">
        <is>
          <t>Virtus</t>
        </is>
      </c>
      <c r="D2502" s="239" t="inlineStr">
        <is>
          <t>Virtus Topline</t>
        </is>
      </c>
      <c r="E2502" s="240" t="inlineStr">
        <is>
          <t>Wild Cherry Red</t>
        </is>
      </c>
    </row>
  </sheetData>
  <mergeCells count="1">
    <mergeCell ref="A1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2026-05-11T11:24:55Z</dcterms:created>
  <dcterms:modified xmlns:dcterms="http://purl.org/dc/terms/" xmlns:xsi="http://www.w3.org/2001/XMLSchema-instance" xsi:type="dcterms:W3CDTF">2026-05-11T11:25:01Z</dcterms:modified>
</cp:coreProperties>
</file>